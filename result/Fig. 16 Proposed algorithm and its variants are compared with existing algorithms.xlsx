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https://d.docs.live.net/cfdbd29c202a014e/07_写论文/15-OD分组-相似度-顶点着色-partC-doing/26-勘误/VC-Eq-PBCD/result/"/>
    </mc:Choice>
  </mc:AlternateContent>
  <xr:revisionPtr revIDLastSave="68" documentId="8_{76040CFF-5FB5-4F39-803D-B2404D9A304A}" xr6:coauthVersionLast="47" xr6:coauthVersionMax="47" xr10:uidLastSave="{4E424EC0-B269-475C-8DFC-40138BD02C59}"/>
  <bookViews>
    <workbookView xWindow="-120" yWindow="-120" windowWidth="29040" windowHeight="15720" xr2:uid="{019C84A6-D218-4EFB-8E33-32BEB994DC88}"/>
  </bookViews>
  <sheets>
    <sheet name="Fig. 16" sheetId="44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4" i="44" l="1"/>
  <c r="M81" i="44"/>
  <c r="L81" i="44"/>
  <c r="H69" i="44"/>
  <c r="H47" i="44"/>
  <c r="H4" i="44"/>
</calcChain>
</file>

<file path=xl/sharedStrings.xml><?xml version="1.0" encoding="utf-8"?>
<sst xmlns="http://schemas.openxmlformats.org/spreadsheetml/2006/main" count="102" uniqueCount="14">
  <si>
    <t>RG</t>
  </si>
  <si>
    <t>used time</t>
  </si>
  <si>
    <t xml:space="preserve"> </t>
  </si>
  <si>
    <t>Anaheim</t>
  </si>
  <si>
    <t>iter</t>
  </si>
  <si>
    <t>VC-PBCD</t>
  </si>
  <si>
    <t>iGP</t>
  </si>
  <si>
    <t xml:space="preserve">Chicago-Sketch </t>
  </si>
  <si>
    <t>Birmingham</t>
  </si>
  <si>
    <t>Philadelphia</t>
  </si>
  <si>
    <t>iGreedy</t>
  </si>
  <si>
    <t>iTAPAS</t>
  </si>
  <si>
    <t>Eq-PBCD</t>
  </si>
  <si>
    <t>VC-Eq-PBCD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</si>
</sst>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sz val="11"/>
      <color theme="1"/>
      <name val="Calibri"/>
      <family val="2"/>
      <charset val="134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charset val="134"/>
      <scheme val="major"/>
    </font>
    <font>
      <b/>
      <sz val="15"/>
      <color theme="3"/>
      <name val="Calibri"/>
      <family val="2"/>
      <charset val="134"/>
      <scheme val="minor"/>
    </font>
    <font>
      <b/>
      <sz val="13"/>
      <color theme="3"/>
      <name val="Calibri"/>
      <family val="2"/>
      <charset val="134"/>
      <scheme val="minor"/>
    </font>
    <font>
      <b/>
      <sz val="11"/>
      <color theme="3"/>
      <name val="Calibri"/>
      <family val="2"/>
      <charset val="134"/>
      <scheme val="minor"/>
    </font>
    <font>
      <sz val="11"/>
      <color rgb="FF006100"/>
      <name val="Calibri"/>
      <family val="2"/>
      <charset val="134"/>
      <scheme val="minor"/>
    </font>
    <font>
      <sz val="11"/>
      <color rgb="FF9C0006"/>
      <name val="Calibri"/>
      <family val="2"/>
      <charset val="134"/>
      <scheme val="minor"/>
    </font>
    <font>
      <sz val="11"/>
      <color rgb="FF9C5700"/>
      <name val="Calibri"/>
      <family val="2"/>
      <charset val="134"/>
      <scheme val="minor"/>
    </font>
    <font>
      <sz val="11"/>
      <color rgb="FF3F3F76"/>
      <name val="Calibri"/>
      <family val="2"/>
      <charset val="134"/>
      <scheme val="minor"/>
    </font>
    <font>
      <b/>
      <sz val="11"/>
      <color rgb="FF3F3F3F"/>
      <name val="Calibri"/>
      <family val="2"/>
      <charset val="134"/>
      <scheme val="minor"/>
    </font>
    <font>
      <b/>
      <sz val="11"/>
      <color rgb="FFFA7D00"/>
      <name val="Calibri"/>
      <family val="2"/>
      <charset val="134"/>
      <scheme val="minor"/>
    </font>
    <font>
      <sz val="11"/>
      <color rgb="FFFA7D00"/>
      <name val="Calibri"/>
      <family val="2"/>
      <charset val="134"/>
      <scheme val="minor"/>
    </font>
    <font>
      <b/>
      <sz val="11"/>
      <color theme="0"/>
      <name val="Calibri"/>
      <family val="2"/>
      <charset val="134"/>
      <scheme val="minor"/>
    </font>
    <font>
      <sz val="11"/>
      <color rgb="FFFF0000"/>
      <name val="Calibri"/>
      <family val="2"/>
      <charset val="134"/>
      <scheme val="minor"/>
    </font>
    <font>
      <i/>
      <sz val="11"/>
      <color rgb="FF7F7F7F"/>
      <name val="Calibri"/>
      <family val="2"/>
      <charset val="134"/>
      <scheme val="minor"/>
    </font>
    <font>
      <b/>
      <sz val="11"/>
      <color theme="1"/>
      <name val="Calibri"/>
      <family val="2"/>
      <charset val="134"/>
      <scheme val="minor"/>
    </font>
    <font>
      <sz val="11"/>
      <color theme="0"/>
      <name val="Calibri"/>
      <family val="2"/>
      <charset val="134"/>
      <scheme val="minor"/>
    </font>
    <font>
      <sz val="11"/>
      <color theme="1"/>
      <name val="Times New Roman"/>
      <family val="1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0" fontId="6" fillId="0" borderId="0" applyNumberFormat="0" applyFill="0" applyBorder="0" applyAlignment="0" applyProtection="0"/>
    <xf numFmtId="0" fontId="7" fillId="0" borderId="1" applyNumberFormat="0" applyFill="0" applyAlignment="0" applyProtection="0"/>
    <xf numFmtId="0" fontId="8" fillId="0" borderId="2" applyNumberFormat="0" applyFill="0" applyAlignment="0" applyProtection="0"/>
    <xf numFmtId="0" fontId="9" fillId="0" borderId="3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4" applyNumberFormat="0" applyAlignment="0" applyProtection="0"/>
    <xf numFmtId="0" fontId="14" fillId="7" borderId="5" applyNumberFormat="0" applyAlignment="0" applyProtection="0"/>
    <xf numFmtId="0" fontId="15" fillId="7" borderId="4" applyNumberFormat="0" applyAlignment="0" applyProtection="0"/>
    <xf numFmtId="0" fontId="16" fillId="0" borderId="6" applyNumberFormat="0" applyFill="0" applyAlignment="0" applyProtection="0"/>
    <xf numFmtId="0" fontId="17" fillId="8" borderId="7" applyNumberFormat="0" applyAlignment="0" applyProtection="0"/>
    <xf numFmtId="0" fontId="18" fillId="0" borderId="0" applyNumberFormat="0" applyFill="0" applyBorder="0" applyAlignment="0" applyProtection="0"/>
    <xf numFmtId="0" fontId="5" fillId="9" borderId="8" applyNumberFormat="0" applyFont="0" applyAlignment="0" applyProtection="0"/>
    <xf numFmtId="0" fontId="19" fillId="0" borderId="0" applyNumberFormat="0" applyFill="0" applyBorder="0" applyAlignment="0" applyProtection="0"/>
    <xf numFmtId="0" fontId="20" fillId="0" borderId="9" applyNumberFormat="0" applyFill="0" applyAlignment="0" applyProtection="0"/>
    <xf numFmtId="0" fontId="21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1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1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1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1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1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" fillId="33" borderId="0" applyNumberFormat="0" applyBorder="0" applyAlignment="0" applyProtection="0"/>
  </cellStyleXfs>
  <cellXfs count="11">
    <xf numFmtId="0" fontId="0" fillId="0" borderId="0" xfId="0"/>
    <xf numFmtId="11" fontId="0" fillId="0" borderId="0" xfId="0" applyNumberFormat="1"/>
    <xf numFmtId="0" fontId="3" fillId="0" borderId="0" xfId="0" applyFont="1"/>
    <xf numFmtId="0" fontId="4" fillId="0" borderId="0" xfId="0" applyFont="1"/>
    <xf numFmtId="0" fontId="22" fillId="0" borderId="0" xfId="0" applyFont="1" applyBorder="1" applyAlignment="1">
      <alignment vertical="center" wrapText="1"/>
    </xf>
    <xf numFmtId="11" fontId="4" fillId="0" borderId="0" xfId="0" applyNumberFormat="1" applyFont="1"/>
    <xf numFmtId="0" fontId="4" fillId="0" borderId="0" xfId="0" applyFont="1" applyFill="1"/>
    <xf numFmtId="0" fontId="0" fillId="0" borderId="0" xfId="0"/>
    <xf numFmtId="0" fontId="0" fillId="34" borderId="0" xfId="0" applyFill="1" applyAlignment="1"/>
    <xf numFmtId="0" fontId="0" fillId="34" borderId="0" xfId="0" applyFill="1" applyAlignment="1">
      <alignment horizontal="center"/>
    </xf>
    <xf numFmtId="0" fontId="0" fillId="2" borderId="0" xfId="0" applyFill="1" applyAlignment="1">
      <alignment horizontal="center"/>
    </xf>
  </cellXfs>
  <cellStyles count="60">
    <cellStyle name="20% - 着色 1" xfId="19" builtinId="30" customBuiltin="1"/>
    <cellStyle name="20% - 着色 1 2" xfId="42" xr:uid="{D92CAA67-DF26-4B0F-9FAB-EEE60E880ACD}"/>
    <cellStyle name="20% - 着色 2" xfId="23" builtinId="34" customBuiltin="1"/>
    <cellStyle name="20% - 着色 2 2" xfId="45" xr:uid="{57F7D461-CAAC-496E-B2DE-898158217CD0}"/>
    <cellStyle name="20% - 着色 3" xfId="27" builtinId="38" customBuiltin="1"/>
    <cellStyle name="20% - 着色 3 2" xfId="48" xr:uid="{6A6F7758-8364-49D7-8B34-EACAF12C44E6}"/>
    <cellStyle name="20% - 着色 4" xfId="31" builtinId="42" customBuiltin="1"/>
    <cellStyle name="20% - 着色 4 2" xfId="51" xr:uid="{A7415D33-7D4A-4985-B74D-9E7DA8376D66}"/>
    <cellStyle name="20% - 着色 5" xfId="35" builtinId="46" customBuiltin="1"/>
    <cellStyle name="20% - 着色 5 2" xfId="54" xr:uid="{F2D31BB0-9A35-4B70-BE40-73E52FDDB3C4}"/>
    <cellStyle name="20% - 着色 6" xfId="39" builtinId="50" customBuiltin="1"/>
    <cellStyle name="20% - 着色 6 2" xfId="57" xr:uid="{569EED3F-EEB4-48BD-AB39-40AA013D0112}"/>
    <cellStyle name="40% - 着色 1" xfId="20" builtinId="31" customBuiltin="1"/>
    <cellStyle name="40% - 着色 1 2" xfId="43" xr:uid="{4259CE10-A135-4CD7-92A1-5FEF2829FC90}"/>
    <cellStyle name="40% - 着色 2" xfId="24" builtinId="35" customBuiltin="1"/>
    <cellStyle name="40% - 着色 2 2" xfId="46" xr:uid="{360D0BAF-610C-4FCD-8B86-1292B2BC6B7C}"/>
    <cellStyle name="40% - 着色 3" xfId="28" builtinId="39" customBuiltin="1"/>
    <cellStyle name="40% - 着色 3 2" xfId="49" xr:uid="{DE6874DD-F164-45D5-A9E2-68AC7C3A8FF9}"/>
    <cellStyle name="40% - 着色 4" xfId="32" builtinId="43" customBuiltin="1"/>
    <cellStyle name="40% - 着色 4 2" xfId="52" xr:uid="{08180016-1C84-4219-B50A-50151F3BF6B1}"/>
    <cellStyle name="40% - 着色 5" xfId="36" builtinId="47" customBuiltin="1"/>
    <cellStyle name="40% - 着色 5 2" xfId="55" xr:uid="{45AD561C-A33F-4ECF-9368-2AFEEBA3F46F}"/>
    <cellStyle name="40% - 着色 6" xfId="40" builtinId="51" customBuiltin="1"/>
    <cellStyle name="40% - 着色 6 2" xfId="58" xr:uid="{7E83857B-F917-4E06-8C51-716BE417AC95}"/>
    <cellStyle name="60% - 着色 1" xfId="21" builtinId="32" customBuiltin="1"/>
    <cellStyle name="60% - 着色 1 2" xfId="44" xr:uid="{3D6F067C-A086-44D6-9423-36801C4CF1D2}"/>
    <cellStyle name="60% - 着色 2" xfId="25" builtinId="36" customBuiltin="1"/>
    <cellStyle name="60% - 着色 2 2" xfId="47" xr:uid="{3A340596-EAB5-4FDA-9189-DA11ED8B953C}"/>
    <cellStyle name="60% - 着色 3" xfId="29" builtinId="40" customBuiltin="1"/>
    <cellStyle name="60% - 着色 3 2" xfId="50" xr:uid="{92C896C7-2DA5-4291-8490-FC866EE68E2A}"/>
    <cellStyle name="60% - 着色 4" xfId="33" builtinId="44" customBuiltin="1"/>
    <cellStyle name="60% - 着色 4 2" xfId="53" xr:uid="{8FCE5309-3129-465E-933A-6ABCD17100C4}"/>
    <cellStyle name="60% - 着色 5" xfId="37" builtinId="48" customBuiltin="1"/>
    <cellStyle name="60% - 着色 5 2" xfId="56" xr:uid="{AC0E880C-7862-4D3A-8F09-EDB19547E858}"/>
    <cellStyle name="60% - 着色 6" xfId="41" builtinId="52" customBuiltin="1"/>
    <cellStyle name="60% - 着色 6 2" xfId="59" xr:uid="{A606D29E-8B09-48CA-8742-C7D2572D38B1}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Birm-2025</a:t>
            </a:r>
            <a:endParaRPr lang="en-US"/>
          </a:p>
        </c:rich>
      </c:tx>
      <c:layout>
        <c:manualLayout>
          <c:xMode val="edge"/>
          <c:yMode val="edge"/>
          <c:x val="0.47673521346580588"/>
          <c:y val="4.26619308808517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087156812382931"/>
          <c:y val="9.0542689596608134E-2"/>
          <c:w val="0.83152200239848995"/>
          <c:h val="0.78208821434012443"/>
        </c:manualLayout>
      </c:layout>
      <c:scatterChart>
        <c:scatterStyle val="lineMarker"/>
        <c:varyColors val="0"/>
        <c:ser>
          <c:idx val="6"/>
          <c:order val="0"/>
          <c:tx>
            <c:v>iGP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'Fig. 16'!$C$69:$C$79</c:f>
              <c:numCache>
                <c:formatCode>General</c:formatCode>
                <c:ptCount val="11"/>
                <c:pt idx="0">
                  <c:v>3.5009999999999999</c:v>
                </c:pt>
                <c:pt idx="1">
                  <c:v>31.9</c:v>
                </c:pt>
                <c:pt idx="2">
                  <c:v>53.594999999999999</c:v>
                </c:pt>
                <c:pt idx="3">
                  <c:v>75.444000000000003</c:v>
                </c:pt>
                <c:pt idx="4">
                  <c:v>90.588999999999999</c:v>
                </c:pt>
                <c:pt idx="5">
                  <c:v>98.414000000000001</c:v>
                </c:pt>
                <c:pt idx="6">
                  <c:v>112.05200000000001</c:v>
                </c:pt>
                <c:pt idx="7">
                  <c:v>143.583</c:v>
                </c:pt>
                <c:pt idx="8">
                  <c:v>179.428</c:v>
                </c:pt>
                <c:pt idx="9">
                  <c:v>213.47399999999999</c:v>
                </c:pt>
                <c:pt idx="10">
                  <c:v>250.88200000000001</c:v>
                </c:pt>
              </c:numCache>
            </c:numRef>
          </c:xVal>
          <c:yVal>
            <c:numRef>
              <c:f>'Fig. 16'!$B$69:$B$79</c:f>
              <c:numCache>
                <c:formatCode>General</c:formatCode>
                <c:ptCount val="11"/>
                <c:pt idx="0">
                  <c:v>4.7670839280000002E-2</c:v>
                </c:pt>
                <c:pt idx="1">
                  <c:v>1.7481598929999999E-3</c:v>
                </c:pt>
                <c:pt idx="2">
                  <c:v>1.5440046429999999E-4</c:v>
                </c:pt>
                <c:pt idx="3" formatCode="0.00E+00">
                  <c:v>2.537115399E-5</c:v>
                </c:pt>
                <c:pt idx="4" formatCode="0.00E+00">
                  <c:v>3.8652490860000003E-6</c:v>
                </c:pt>
                <c:pt idx="5" formatCode="0.00E+00">
                  <c:v>1.868925863E-7</c:v>
                </c:pt>
                <c:pt idx="6" formatCode="0.00E+00">
                  <c:v>1.2499778429999999E-8</c:v>
                </c:pt>
                <c:pt idx="7" formatCode="0.00E+00">
                  <c:v>8.4773255079999999E-10</c:v>
                </c:pt>
                <c:pt idx="8" formatCode="0.00E+00">
                  <c:v>1.4421175359999999E-10</c:v>
                </c:pt>
                <c:pt idx="9" formatCode="0.00E+00">
                  <c:v>3.09952064E-12</c:v>
                </c:pt>
                <c:pt idx="10" formatCode="0.00E+00">
                  <c:v>5.1847415249999998E-14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4E-45B0-8609-E70E899982E9}"/>
            </c:ext>
          </c:extLst>
        </c:ser>
        <c:ser>
          <c:idx val="3"/>
          <c:order val="1"/>
          <c:tx>
            <c:v>iGreedy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'Fig. 16'!$H$69:$H$79</c:f>
              <c:numCache>
                <c:formatCode>General</c:formatCode>
                <c:ptCount val="11"/>
                <c:pt idx="0">
                  <c:v>2.9963333333333337</c:v>
                </c:pt>
                <c:pt idx="1">
                  <c:v>8.9890000000000008</c:v>
                </c:pt>
                <c:pt idx="2">
                  <c:v>16.831</c:v>
                </c:pt>
                <c:pt idx="3">
                  <c:v>24.754000000000001</c:v>
                </c:pt>
                <c:pt idx="4">
                  <c:v>32.408999999999999</c:v>
                </c:pt>
                <c:pt idx="5">
                  <c:v>39.945999999999998</c:v>
                </c:pt>
                <c:pt idx="6">
                  <c:v>48.576000000000001</c:v>
                </c:pt>
                <c:pt idx="7">
                  <c:v>57.149000000000001</c:v>
                </c:pt>
                <c:pt idx="8">
                  <c:v>66.856999999999999</c:v>
                </c:pt>
                <c:pt idx="9">
                  <c:v>76.290000000000006</c:v>
                </c:pt>
                <c:pt idx="10">
                  <c:v>97.088999999999999</c:v>
                </c:pt>
              </c:numCache>
            </c:numRef>
          </c:xVal>
          <c:yVal>
            <c:numRef>
              <c:f>'Fig. 16'!$G$69:$G$79</c:f>
              <c:numCache>
                <c:formatCode>General</c:formatCode>
                <c:ptCount val="11"/>
                <c:pt idx="0">
                  <c:v>4.7670999999999998E-2</c:v>
                </c:pt>
                <c:pt idx="1">
                  <c:v>2.106300475E-3</c:v>
                </c:pt>
                <c:pt idx="2">
                  <c:v>1.265463944E-4</c:v>
                </c:pt>
                <c:pt idx="3" formatCode="0.00E+00">
                  <c:v>1.872042766E-5</c:v>
                </c:pt>
                <c:pt idx="4" formatCode="0.00E+00">
                  <c:v>2.8215369030000001E-6</c:v>
                </c:pt>
                <c:pt idx="5" formatCode="0.00E+00">
                  <c:v>3.7016588120000002E-7</c:v>
                </c:pt>
                <c:pt idx="6" formatCode="0.00E+00">
                  <c:v>4.737672465E-8</c:v>
                </c:pt>
                <c:pt idx="7" formatCode="0.00E+00">
                  <c:v>1.642362135E-9</c:v>
                </c:pt>
                <c:pt idx="8" formatCode="0.00E+00">
                  <c:v>2.01231698E-10</c:v>
                </c:pt>
                <c:pt idx="9" formatCode="0.00E+00">
                  <c:v>5.6409321659999998E-12</c:v>
                </c:pt>
                <c:pt idx="10" formatCode="0.00E+00">
                  <c:v>1.030286967E-13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64E-45B0-8609-E70E899982E9}"/>
            </c:ext>
          </c:extLst>
        </c:ser>
        <c:ser>
          <c:idx val="0"/>
          <c:order val="2"/>
          <c:tx>
            <c:v>iTAPAS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16'!$M$69:$M$82</c:f>
              <c:numCache>
                <c:formatCode>General</c:formatCode>
                <c:ptCount val="14"/>
                <c:pt idx="0">
                  <c:v>10.411</c:v>
                </c:pt>
                <c:pt idx="1">
                  <c:v>17.645</c:v>
                </c:pt>
                <c:pt idx="2">
                  <c:v>31.045999999999999</c:v>
                </c:pt>
                <c:pt idx="3">
                  <c:v>41.670999999999999</c:v>
                </c:pt>
                <c:pt idx="4">
                  <c:v>50.109000000000002</c:v>
                </c:pt>
                <c:pt idx="5">
                  <c:v>58.177999999999997</c:v>
                </c:pt>
                <c:pt idx="6">
                  <c:v>66.244</c:v>
                </c:pt>
                <c:pt idx="7">
                  <c:v>74.19</c:v>
                </c:pt>
                <c:pt idx="8">
                  <c:v>82.198999999999998</c:v>
                </c:pt>
                <c:pt idx="9">
                  <c:v>90.221000000000004</c:v>
                </c:pt>
                <c:pt idx="10">
                  <c:v>98.253</c:v>
                </c:pt>
                <c:pt idx="11">
                  <c:v>106.255</c:v>
                </c:pt>
                <c:pt idx="12" formatCode="0.00E+00">
                  <c:v>110.297</c:v>
                </c:pt>
                <c:pt idx="13">
                  <c:v>114.339</c:v>
                </c:pt>
              </c:numCache>
            </c:numRef>
          </c:xVal>
          <c:yVal>
            <c:numRef>
              <c:f>'Fig. 16'!$L$69:$L$82</c:f>
              <c:numCache>
                <c:formatCode>General</c:formatCode>
                <c:ptCount val="14"/>
                <c:pt idx="0">
                  <c:v>0.08</c:v>
                </c:pt>
                <c:pt idx="1">
                  <c:v>5.5500000000000001E-2</c:v>
                </c:pt>
                <c:pt idx="2">
                  <c:v>4.0000000000000001E-3</c:v>
                </c:pt>
                <c:pt idx="3">
                  <c:v>2.9999999999999997E-4</c:v>
                </c:pt>
                <c:pt idx="4" formatCode="0.00E+00">
                  <c:v>3.0486800000000001E-5</c:v>
                </c:pt>
                <c:pt idx="5" formatCode="0.00E+00">
                  <c:v>4.8532999999999998E-6</c:v>
                </c:pt>
                <c:pt idx="6" formatCode="0.00E+00">
                  <c:v>9.8581000000000001E-7</c:v>
                </c:pt>
                <c:pt idx="7" formatCode="0.00E+00">
                  <c:v>3.0559999999999998E-7</c:v>
                </c:pt>
                <c:pt idx="8" formatCode="0.00E+00">
                  <c:v>5.6202999999999997E-8</c:v>
                </c:pt>
                <c:pt idx="9" formatCode="0.00E+00">
                  <c:v>2.2405999999999999E-9</c:v>
                </c:pt>
                <c:pt idx="10" formatCode="0.00E+00">
                  <c:v>9.8165000000000002E-10</c:v>
                </c:pt>
                <c:pt idx="11" formatCode="0.00E+00">
                  <c:v>2.1189000000000002E-12</c:v>
                </c:pt>
                <c:pt idx="12" formatCode="0.00E+00">
                  <c:v>5.3479700000000009E-13</c:v>
                </c:pt>
                <c:pt idx="13" formatCode="0.00E+00">
                  <c:v>2.0288000000000002E-14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64E-45B0-8609-E70E899982E9}"/>
            </c:ext>
          </c:extLst>
        </c:ser>
        <c:ser>
          <c:idx val="13"/>
          <c:order val="3"/>
          <c:tx>
            <c:v>Eq-PBCD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'Fig. 16'!$R$69:$R$78</c:f>
              <c:numCache>
                <c:formatCode>General</c:formatCode>
                <c:ptCount val="10"/>
                <c:pt idx="0">
                  <c:v>0.54699993130000002</c:v>
                </c:pt>
                <c:pt idx="1">
                  <c:v>2.5969998840000001</c:v>
                </c:pt>
                <c:pt idx="2">
                  <c:v>4.0650000569999998</c:v>
                </c:pt>
                <c:pt idx="3">
                  <c:v>6.0920000080000003</c:v>
                </c:pt>
                <c:pt idx="4">
                  <c:v>8.1319999690000007</c:v>
                </c:pt>
                <c:pt idx="5">
                  <c:v>10.079000000000001</c:v>
                </c:pt>
                <c:pt idx="6">
                  <c:v>13.547999859999999</c:v>
                </c:pt>
                <c:pt idx="7">
                  <c:v>16.76699996</c:v>
                </c:pt>
                <c:pt idx="8">
                  <c:v>19.657000060000001</c:v>
                </c:pt>
                <c:pt idx="9">
                  <c:v>25.642999889999999</c:v>
                </c:pt>
              </c:numCache>
            </c:numRef>
          </c:xVal>
          <c:yVal>
            <c:numRef>
              <c:f>'Fig. 16'!$Q$69:$Q$78</c:f>
              <c:numCache>
                <c:formatCode>General</c:formatCode>
                <c:ptCount val="10"/>
                <c:pt idx="0">
                  <c:v>4.7670839280000002E-2</c:v>
                </c:pt>
                <c:pt idx="1">
                  <c:v>2.4399787840000001E-3</c:v>
                </c:pt>
                <c:pt idx="2">
                  <c:v>2.7555301590000001E-4</c:v>
                </c:pt>
                <c:pt idx="3" formatCode="0.00E+00">
                  <c:v>3.9513337789999997E-5</c:v>
                </c:pt>
                <c:pt idx="4" formatCode="0.00E+00">
                  <c:v>3.7089822130000001E-6</c:v>
                </c:pt>
                <c:pt idx="5" formatCode="0.00E+00">
                  <c:v>1.2937711849999999E-7</c:v>
                </c:pt>
                <c:pt idx="6" formatCode="0.00E+00">
                  <c:v>1.0862387099999999E-8</c:v>
                </c:pt>
                <c:pt idx="7" formatCode="0.00E+00">
                  <c:v>1.4829414360000001E-9</c:v>
                </c:pt>
                <c:pt idx="8" formatCode="0.00E+00">
                  <c:v>3.1551206089999999E-11</c:v>
                </c:pt>
                <c:pt idx="9" formatCode="0.00E+00">
                  <c:v>6.2938543270000005E-13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464E-45B0-8609-E70E899982E9}"/>
            </c:ext>
          </c:extLst>
        </c:ser>
        <c:ser>
          <c:idx val="4"/>
          <c:order val="7"/>
          <c:tx>
            <c:strRef>
              <c:f>'Fig. 16'!$U$67:$W$67</c:f>
              <c:strCache>
                <c:ptCount val="1"/>
                <c:pt idx="0">
                  <c:v>VC-PBCD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'Fig. 16'!$W$69:$W$76</c:f>
              <c:numCache>
                <c:formatCode>General</c:formatCode>
                <c:ptCount val="8"/>
                <c:pt idx="0">
                  <c:v>0.73099994660000001</c:v>
                </c:pt>
                <c:pt idx="1">
                  <c:v>3.5009999280000001</c:v>
                </c:pt>
                <c:pt idx="2">
                  <c:v>5.8569998740000004</c:v>
                </c:pt>
                <c:pt idx="3">
                  <c:v>8.8190000059999996</c:v>
                </c:pt>
                <c:pt idx="4">
                  <c:v>12.17499995</c:v>
                </c:pt>
                <c:pt idx="5">
                  <c:v>16.957000019999999</c:v>
                </c:pt>
                <c:pt idx="6">
                  <c:v>22.882999900000002</c:v>
                </c:pt>
                <c:pt idx="7">
                  <c:v>28.594000099999999</c:v>
                </c:pt>
              </c:numCache>
            </c:numRef>
          </c:xVal>
          <c:yVal>
            <c:numRef>
              <c:f>'Fig. 16'!$V$69:$V$76</c:f>
              <c:numCache>
                <c:formatCode>General</c:formatCode>
                <c:ptCount val="8"/>
                <c:pt idx="0">
                  <c:v>4.7670839850000001E-2</c:v>
                </c:pt>
                <c:pt idx="1">
                  <c:v>2.6214243279999998E-3</c:v>
                </c:pt>
                <c:pt idx="2">
                  <c:v>1.782173074E-4</c:v>
                </c:pt>
                <c:pt idx="3" formatCode="0.00E+00">
                  <c:v>2.2466854940000001E-5</c:v>
                </c:pt>
                <c:pt idx="4" formatCode="0.00E+00">
                  <c:v>6.1954971599999999E-7</c:v>
                </c:pt>
                <c:pt idx="5" formatCode="0.00E+00">
                  <c:v>9.3370741140000004E-9</c:v>
                </c:pt>
                <c:pt idx="6" formatCode="0.00E+00">
                  <c:v>8.9426910319999998E-11</c:v>
                </c:pt>
                <c:pt idx="7" formatCode="0.00E+00">
                  <c:v>8.9506180249999998E-13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464E-45B0-8609-E70E899982E9}"/>
            </c:ext>
          </c:extLst>
        </c:ser>
        <c:ser>
          <c:idx val="2"/>
          <c:order val="8"/>
          <c:tx>
            <c:v>VC-Eq-PBCD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16'!$AB$69:$AB$77</c:f>
              <c:numCache>
                <c:formatCode>General</c:formatCode>
                <c:ptCount val="9"/>
                <c:pt idx="0">
                  <c:v>0.46799993519999999</c:v>
                </c:pt>
                <c:pt idx="1">
                  <c:v>1.2369999890000001</c:v>
                </c:pt>
                <c:pt idx="2">
                  <c:v>1.7869999409999999</c:v>
                </c:pt>
                <c:pt idx="3">
                  <c:v>2.4119999409999999</c:v>
                </c:pt>
                <c:pt idx="4">
                  <c:v>3.180999994</c:v>
                </c:pt>
                <c:pt idx="5">
                  <c:v>3.9639999869999998</c:v>
                </c:pt>
                <c:pt idx="6">
                  <c:v>5.1019999980000001</c:v>
                </c:pt>
                <c:pt idx="7">
                  <c:v>6.433000088</c:v>
                </c:pt>
                <c:pt idx="8">
                  <c:v>7.7469999789999999</c:v>
                </c:pt>
              </c:numCache>
            </c:numRef>
          </c:xVal>
          <c:yVal>
            <c:numRef>
              <c:f>'Fig. 16'!$AA$69:$AA$77</c:f>
              <c:numCache>
                <c:formatCode>General</c:formatCode>
                <c:ptCount val="9"/>
                <c:pt idx="0">
                  <c:v>4.7670839850000001E-2</c:v>
                </c:pt>
                <c:pt idx="1">
                  <c:v>2.605798089E-3</c:v>
                </c:pt>
                <c:pt idx="2">
                  <c:v>2.706281496E-4</c:v>
                </c:pt>
                <c:pt idx="3" formatCode="0.00E+00">
                  <c:v>3.6521618259999997E-5</c:v>
                </c:pt>
                <c:pt idx="4" formatCode="0.00E+00">
                  <c:v>3.128143869E-6</c:v>
                </c:pt>
                <c:pt idx="5" formatCode="0.00E+00">
                  <c:v>1.179237782E-7</c:v>
                </c:pt>
                <c:pt idx="6" formatCode="0.00E+00">
                  <c:v>2.5721814369999999E-9</c:v>
                </c:pt>
                <c:pt idx="7" formatCode="0.00E+00">
                  <c:v>5.0344899360000003E-11</c:v>
                </c:pt>
                <c:pt idx="8" formatCode="0.00E+00">
                  <c:v>8.5339591300000003E-13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464E-45B0-8609-E70E89998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4"/>
                <c:tx>
                  <c:v>iPBCD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'[1]ML-Birm'!$BG$3:$BG$12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0.88800001139999996</c:v>
                      </c:pt>
                      <c:pt idx="1">
                        <c:v>3.2039999959999999</c:v>
                      </c:pt>
                      <c:pt idx="2">
                        <c:v>5.587000132</c:v>
                      </c:pt>
                      <c:pt idx="3">
                        <c:v>9.1840000150000005</c:v>
                      </c:pt>
                      <c:pt idx="4">
                        <c:v>13.083000180000001</c:v>
                      </c:pt>
                      <c:pt idx="5">
                        <c:v>16.980000019999999</c:v>
                      </c:pt>
                      <c:pt idx="6">
                        <c:v>24.890000100000002</c:v>
                      </c:pt>
                      <c:pt idx="7">
                        <c:v>31.98500013</c:v>
                      </c:pt>
                      <c:pt idx="8">
                        <c:v>40.006000040000004</c:v>
                      </c:pt>
                      <c:pt idx="9">
                        <c:v>53.95000005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'[1]ML-Birm'!$BF$3:$BF$12</c15:sqref>
                        </c15:formulaRef>
                      </c:ext>
                    </c:extLst>
                    <c:numCache>
                      <c:formatCode>General</c:formatCode>
                      <c:ptCount val="10"/>
                      <c:pt idx="0">
                        <c:v>4.7670839280000002E-2</c:v>
                      </c:pt>
                      <c:pt idx="1">
                        <c:v>2.4399787840000001E-3</c:v>
                      </c:pt>
                      <c:pt idx="2">
                        <c:v>2.7555301590000001E-4</c:v>
                      </c:pt>
                      <c:pt idx="3">
                        <c:v>3.9513337789999997E-5</c:v>
                      </c:pt>
                      <c:pt idx="4">
                        <c:v>3.7089822130000001E-6</c:v>
                      </c:pt>
                      <c:pt idx="5">
                        <c:v>1.2937711839999999E-7</c:v>
                      </c:pt>
                      <c:pt idx="6">
                        <c:v>1.0862387099999999E-8</c:v>
                      </c:pt>
                      <c:pt idx="7">
                        <c:v>1.482941214E-9</c:v>
                      </c:pt>
                      <c:pt idx="8">
                        <c:v>3.155109507E-11</c:v>
                      </c:pt>
                      <c:pt idx="9">
                        <c:v>6.2938543270000005E-13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464E-45B0-8609-E70E899982E9}"/>
                  </c:ext>
                </c:extLst>
              </c15:ser>
            </c15:filteredScatterSeries>
            <c15:filteredScatterSeries>
              <c15:ser>
                <c:idx val="11"/>
                <c:order val="5"/>
                <c:tx>
                  <c:v>ML-PBCD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'[1]ML-Birm'!$N$28:$N$36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1.5990020190000001</c:v>
                      </c:pt>
                      <c:pt idx="1">
                        <c:v>3.1720000000000002</c:v>
                      </c:pt>
                      <c:pt idx="2">
                        <c:v>4.1639999999999997</c:v>
                      </c:pt>
                      <c:pt idx="3">
                        <c:v>5.3380000000000001</c:v>
                      </c:pt>
                      <c:pt idx="4">
                        <c:v>6.8470000000000004</c:v>
                      </c:pt>
                      <c:pt idx="5">
                        <c:v>9.3049999999999997</c:v>
                      </c:pt>
                      <c:pt idx="6">
                        <c:v>12.486000000000001</c:v>
                      </c:pt>
                      <c:pt idx="7">
                        <c:v>15.356999999999999</c:v>
                      </c:pt>
                      <c:pt idx="8">
                        <c:v>18.28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'[1]ML-Birm'!$M$28:$M$36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4.7670839280000002E-2</c:v>
                      </c:pt>
                      <c:pt idx="1">
                        <c:v>2.4115299999999998E-3</c:v>
                      </c:pt>
                      <c:pt idx="2">
                        <c:v>2.4850399999999998E-4</c:v>
                      </c:pt>
                      <c:pt idx="3">
                        <c:v>3.7017300000000002E-5</c:v>
                      </c:pt>
                      <c:pt idx="4">
                        <c:v>2.1909800000000002E-6</c:v>
                      </c:pt>
                      <c:pt idx="5">
                        <c:v>5.6099800000000002E-8</c:v>
                      </c:pt>
                      <c:pt idx="6">
                        <c:v>1.1235000000000001E-9</c:v>
                      </c:pt>
                      <c:pt idx="7">
                        <c:v>2.55333E-11</c:v>
                      </c:pt>
                      <c:pt idx="8">
                        <c:v>5.6057900000000005E-13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64E-45B0-8609-E70E899982E9}"/>
                  </c:ext>
                </c:extLst>
              </c15:ser>
            </c15:filteredScatterSeries>
            <c15:filteredScatterSeries>
              <c15:ser>
                <c:idx val="1"/>
                <c:order val="6"/>
                <c:tx>
                  <c:v>EC-PBCD</c:v>
                </c:tx>
                <c:spPr>
                  <a:ln w="190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'[1]ML-Birm'!$AD$3:$AD$11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0.91600012779999995</c:v>
                      </c:pt>
                      <c:pt idx="1">
                        <c:v>3.1319999690000002</c:v>
                      </c:pt>
                      <c:pt idx="2">
                        <c:v>4.7810001370000004</c:v>
                      </c:pt>
                      <c:pt idx="3">
                        <c:v>6.6740000249999998</c:v>
                      </c:pt>
                      <c:pt idx="4">
                        <c:v>9.0320000650000001</c:v>
                      </c:pt>
                      <c:pt idx="5">
                        <c:v>11.95000005</c:v>
                      </c:pt>
                      <c:pt idx="6">
                        <c:v>17.85600019</c:v>
                      </c:pt>
                      <c:pt idx="7">
                        <c:v>21.33599997</c:v>
                      </c:pt>
                      <c:pt idx="8">
                        <c:v>24.996000049999999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'[1]ML-Birm'!$AC$3:$AC$11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4.7670839280000002E-2</c:v>
                      </c:pt>
                      <c:pt idx="1">
                        <c:v>2.6530150229999998E-3</c:v>
                      </c:pt>
                      <c:pt idx="2">
                        <c:v>2.6296414449999999E-4</c:v>
                      </c:pt>
                      <c:pt idx="3">
                        <c:v>4.5923711710000003E-5</c:v>
                      </c:pt>
                      <c:pt idx="4">
                        <c:v>2.044938889E-6</c:v>
                      </c:pt>
                      <c:pt idx="5">
                        <c:v>5.5900730380000002E-8</c:v>
                      </c:pt>
                      <c:pt idx="6">
                        <c:v>1.103615865E-9</c:v>
                      </c:pt>
                      <c:pt idx="7">
                        <c:v>1.284561346E-11</c:v>
                      </c:pt>
                      <c:pt idx="8">
                        <c:v>1.367794766E-13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64E-45B0-8609-E70E899982E9}"/>
                  </c:ext>
                </c:extLst>
              </c15:ser>
            </c15:filteredScatterSeries>
          </c:ext>
        </c:extLst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1.1842675934296425E-2"/>
              <c:y val="0.3832775880266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6874809732167493"/>
          <c:y val="0.10183122621007325"/>
          <c:w val="0.19105508710949234"/>
          <c:h val="0.26577693832439109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Ana-2025</a:t>
            </a:r>
            <a:endParaRPr lang="en-US"/>
          </a:p>
        </c:rich>
      </c:tx>
      <c:layout>
        <c:manualLayout>
          <c:xMode val="edge"/>
          <c:yMode val="edge"/>
          <c:x val="0.4784166275554414"/>
          <c:y val="4.2661082635171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437016585619827"/>
          <c:y val="8.541164020136606E-2"/>
          <c:w val="0.83152200239848995"/>
          <c:h val="0.78208821434012443"/>
        </c:manualLayout>
      </c:layout>
      <c:scatterChart>
        <c:scatterStyle val="lineMarker"/>
        <c:varyColors val="0"/>
        <c:ser>
          <c:idx val="6"/>
          <c:order val="0"/>
          <c:tx>
            <c:v>iGP</c:v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'Fig. 16'!$C$4:$C$37</c:f>
              <c:numCache>
                <c:formatCode>General</c:formatCode>
                <c:ptCount val="34"/>
                <c:pt idx="0">
                  <c:v>1E-3</c:v>
                </c:pt>
                <c:pt idx="1">
                  <c:v>3.0000000000000001E-3</c:v>
                </c:pt>
                <c:pt idx="2">
                  <c:v>1.6E-2</c:v>
                </c:pt>
                <c:pt idx="3">
                  <c:v>1.6E-2</c:v>
                </c:pt>
                <c:pt idx="4">
                  <c:v>1.6E-2</c:v>
                </c:pt>
                <c:pt idx="5">
                  <c:v>2.7E-2</c:v>
                </c:pt>
                <c:pt idx="6">
                  <c:v>3.5000000000000003E-2</c:v>
                </c:pt>
                <c:pt idx="7">
                  <c:v>6.0999999999999999E-2</c:v>
                </c:pt>
                <c:pt idx="8">
                  <c:v>8.8999999999999996E-2</c:v>
                </c:pt>
                <c:pt idx="9">
                  <c:v>0.115</c:v>
                </c:pt>
                <c:pt idx="10">
                  <c:v>0.13</c:v>
                </c:pt>
                <c:pt idx="11">
                  <c:v>0.151</c:v>
                </c:pt>
                <c:pt idx="12">
                  <c:v>0.18</c:v>
                </c:pt>
                <c:pt idx="13">
                  <c:v>0.19600000000000001</c:v>
                </c:pt>
                <c:pt idx="14">
                  <c:v>0.21199999999999999</c:v>
                </c:pt>
                <c:pt idx="15">
                  <c:v>0.245</c:v>
                </c:pt>
                <c:pt idx="16">
                  <c:v>0.26</c:v>
                </c:pt>
                <c:pt idx="17">
                  <c:v>0.27600000000000002</c:v>
                </c:pt>
                <c:pt idx="18">
                  <c:v>0.29399999999999998</c:v>
                </c:pt>
                <c:pt idx="19">
                  <c:v>0.32400000000000001</c:v>
                </c:pt>
                <c:pt idx="20">
                  <c:v>0.34100000000000003</c:v>
                </c:pt>
                <c:pt idx="21">
                  <c:v>0.35599999999999998</c:v>
                </c:pt>
                <c:pt idx="22">
                  <c:v>0.372</c:v>
                </c:pt>
                <c:pt idx="23">
                  <c:v>0.39400000000000002</c:v>
                </c:pt>
                <c:pt idx="24">
                  <c:v>0.40400000000000003</c:v>
                </c:pt>
                <c:pt idx="25">
                  <c:v>0.42</c:v>
                </c:pt>
                <c:pt idx="26">
                  <c:v>0.45100000000000001</c:v>
                </c:pt>
                <c:pt idx="27">
                  <c:v>0.46700000000000003</c:v>
                </c:pt>
                <c:pt idx="28">
                  <c:v>0.48299999999999998</c:v>
                </c:pt>
                <c:pt idx="29">
                  <c:v>0.499</c:v>
                </c:pt>
                <c:pt idx="30">
                  <c:v>0.51400000000000001</c:v>
                </c:pt>
                <c:pt idx="31">
                  <c:v>0.54500000000000004</c:v>
                </c:pt>
                <c:pt idx="32">
                  <c:v>0.56100000000000005</c:v>
                </c:pt>
                <c:pt idx="33">
                  <c:v>0.57699999999999996</c:v>
                </c:pt>
              </c:numCache>
            </c:numRef>
          </c:xVal>
          <c:yVal>
            <c:numRef>
              <c:f>'Fig. 16'!$B$4:$B$37</c:f>
              <c:numCache>
                <c:formatCode>General</c:formatCode>
                <c:ptCount val="34"/>
                <c:pt idx="0">
                  <c:v>0.18126265690000001</c:v>
                </c:pt>
                <c:pt idx="1">
                  <c:v>3.031364641E-3</c:v>
                </c:pt>
                <c:pt idx="2">
                  <c:v>3.951530102E-4</c:v>
                </c:pt>
                <c:pt idx="3" formatCode="0.00E+00">
                  <c:v>4.7485665630000002E-5</c:v>
                </c:pt>
                <c:pt idx="4" formatCode="0.00E+00">
                  <c:v>4.3468301670000003E-6</c:v>
                </c:pt>
                <c:pt idx="5" formatCode="0.00E+00">
                  <c:v>3.0617249710000002E-7</c:v>
                </c:pt>
                <c:pt idx="6" formatCode="0.00E+00">
                  <c:v>2.4379481099999999E-8</c:v>
                </c:pt>
                <c:pt idx="7" formatCode="0.00E+00">
                  <c:v>4.0970690169999999E-9</c:v>
                </c:pt>
                <c:pt idx="8" formatCode="0.00E+00">
                  <c:v>2.04825501E-9</c:v>
                </c:pt>
                <c:pt idx="9" formatCode="0.00E+00">
                  <c:v>1.403754224E-9</c:v>
                </c:pt>
                <c:pt idx="10" formatCode="0.00E+00">
                  <c:v>1.0003100570000001E-9</c:v>
                </c:pt>
                <c:pt idx="11" formatCode="0.00E+00">
                  <c:v>7.1655414930000001E-10</c:v>
                </c:pt>
                <c:pt idx="12" formatCode="0.00E+00">
                  <c:v>5.2076765120000004E-10</c:v>
                </c:pt>
                <c:pt idx="13" formatCode="0.00E+00">
                  <c:v>3.787290481E-10</c:v>
                </c:pt>
                <c:pt idx="14" formatCode="0.00E+00">
                  <c:v>2.7769264669999998E-10</c:v>
                </c:pt>
                <c:pt idx="15" formatCode="0.00E+00">
                  <c:v>2.041222746E-10</c:v>
                </c:pt>
                <c:pt idx="16" formatCode="0.00E+00">
                  <c:v>1.501553326E-10</c:v>
                </c:pt>
                <c:pt idx="17" formatCode="0.00E+00">
                  <c:v>1.112597792E-10</c:v>
                </c:pt>
                <c:pt idx="18" formatCode="0.00E+00">
                  <c:v>8.2709838979999996E-11</c:v>
                </c:pt>
                <c:pt idx="19" formatCode="0.00E+00">
                  <c:v>6.1195160049999996E-11</c:v>
                </c:pt>
                <c:pt idx="20" formatCode="0.00E+00">
                  <c:v>4.5586756590000003E-11</c:v>
                </c:pt>
                <c:pt idx="21" formatCode="0.00E+00">
                  <c:v>3.4186098399999997E-11</c:v>
                </c:pt>
                <c:pt idx="22" formatCode="0.00E+00">
                  <c:v>2.5326629680000002E-11</c:v>
                </c:pt>
                <c:pt idx="23" formatCode="0.00E+00">
                  <c:v>1.882138889E-11</c:v>
                </c:pt>
                <c:pt idx="24" formatCode="0.00E+00">
                  <c:v>1.401834204E-11</c:v>
                </c:pt>
                <c:pt idx="25" formatCode="0.00E+00">
                  <c:v>1.0439649149999999E-11</c:v>
                </c:pt>
                <c:pt idx="26" formatCode="0.00E+00">
                  <c:v>7.7853279379999995E-12</c:v>
                </c:pt>
                <c:pt idx="27" formatCode="0.00E+00">
                  <c:v>5.7907012520000002E-12</c:v>
                </c:pt>
                <c:pt idx="28" formatCode="0.00E+00">
                  <c:v>4.2975623059999996E-12</c:v>
                </c:pt>
                <c:pt idx="29" formatCode="0.00E+00">
                  <c:v>3.193223463E-12</c:v>
                </c:pt>
                <c:pt idx="30" formatCode="0.00E+00">
                  <c:v>2.3732127370000001E-12</c:v>
                </c:pt>
                <c:pt idx="31" formatCode="0.00E+00">
                  <c:v>1.7810197760000001E-12</c:v>
                </c:pt>
                <c:pt idx="32" formatCode="0.00E+00">
                  <c:v>1.3238299350000001E-12</c:v>
                </c:pt>
                <c:pt idx="33" formatCode="0.00E+00">
                  <c:v>9.8443475590000001E-13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62-4E25-8408-E9469D9C01E0}"/>
            </c:ext>
          </c:extLst>
        </c:ser>
        <c:ser>
          <c:idx val="4"/>
          <c:order val="1"/>
          <c:tx>
            <c:v>iGreedy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'Fig. 16'!$H$4:$H$26</c:f>
              <c:numCache>
                <c:formatCode>General</c:formatCode>
                <c:ptCount val="23"/>
                <c:pt idx="0">
                  <c:v>1E-3</c:v>
                </c:pt>
                <c:pt idx="1">
                  <c:v>3.0000000000000001E-3</c:v>
                </c:pt>
                <c:pt idx="2">
                  <c:v>6.0000000000000001E-3</c:v>
                </c:pt>
                <c:pt idx="3">
                  <c:v>8.0000000000000002E-3</c:v>
                </c:pt>
                <c:pt idx="4">
                  <c:v>1.2E-2</c:v>
                </c:pt>
                <c:pt idx="5">
                  <c:v>1.7000000000000001E-2</c:v>
                </c:pt>
                <c:pt idx="6">
                  <c:v>1.7000000000000001E-2</c:v>
                </c:pt>
                <c:pt idx="7">
                  <c:v>4.9000000000000002E-2</c:v>
                </c:pt>
                <c:pt idx="8">
                  <c:v>8.1000000000000003E-2</c:v>
                </c:pt>
                <c:pt idx="9">
                  <c:v>0.113</c:v>
                </c:pt>
                <c:pt idx="10">
                  <c:v>0.14699999999999999</c:v>
                </c:pt>
                <c:pt idx="11">
                  <c:v>0.17899999999999999</c:v>
                </c:pt>
                <c:pt idx="12">
                  <c:v>0.20799999999999999</c:v>
                </c:pt>
                <c:pt idx="13">
                  <c:v>0.24</c:v>
                </c:pt>
                <c:pt idx="14">
                  <c:v>0.27200000000000002</c:v>
                </c:pt>
                <c:pt idx="15">
                  <c:v>0.30299999999999999</c:v>
                </c:pt>
                <c:pt idx="16">
                  <c:v>0.35</c:v>
                </c:pt>
                <c:pt idx="17">
                  <c:v>0.38200000000000001</c:v>
                </c:pt>
                <c:pt idx="18">
                  <c:v>0.43</c:v>
                </c:pt>
                <c:pt idx="19">
                  <c:v>0.46600000000000003</c:v>
                </c:pt>
                <c:pt idx="20">
                  <c:v>0.499</c:v>
                </c:pt>
                <c:pt idx="21">
                  <c:v>0.53400000000000003</c:v>
                </c:pt>
                <c:pt idx="22">
                  <c:v>0.56999999999999995</c:v>
                </c:pt>
              </c:numCache>
            </c:numRef>
          </c:xVal>
          <c:yVal>
            <c:numRef>
              <c:f>'Fig. 16'!$G$4:$G$26</c:f>
              <c:numCache>
                <c:formatCode>General</c:formatCode>
                <c:ptCount val="23"/>
                <c:pt idx="0">
                  <c:v>0.18126300000000001</c:v>
                </c:pt>
                <c:pt idx="1">
                  <c:v>3.4664493279999999E-3</c:v>
                </c:pt>
                <c:pt idx="2">
                  <c:v>4.9791468019999997E-4</c:v>
                </c:pt>
                <c:pt idx="3" formatCode="0.00E+00">
                  <c:v>4.2088413670000002E-5</c:v>
                </c:pt>
                <c:pt idx="4" formatCode="0.00E+00">
                  <c:v>3.339506892E-6</c:v>
                </c:pt>
                <c:pt idx="5" formatCode="0.00E+00">
                  <c:v>4.026040628E-7</c:v>
                </c:pt>
                <c:pt idx="6" formatCode="0.00E+00">
                  <c:v>2.5845616199999999E-8</c:v>
                </c:pt>
                <c:pt idx="7" formatCode="0.00E+00">
                  <c:v>3.0405377099999999E-9</c:v>
                </c:pt>
                <c:pt idx="8" formatCode="0.00E+00">
                  <c:v>1.0991517700000001E-9</c:v>
                </c:pt>
                <c:pt idx="9" formatCode="0.00E+00">
                  <c:v>5.9872695689999999E-10</c:v>
                </c:pt>
                <c:pt idx="10" formatCode="0.00E+00">
                  <c:v>3.5381864109999999E-10</c:v>
                </c:pt>
                <c:pt idx="11" formatCode="0.00E+00">
                  <c:v>2.0978052630000001E-10</c:v>
                </c:pt>
                <c:pt idx="12" formatCode="0.00E+00">
                  <c:v>1.2617829000000001E-10</c:v>
                </c:pt>
                <c:pt idx="13" formatCode="0.00E+00">
                  <c:v>7.6359585319999998E-11</c:v>
                </c:pt>
                <c:pt idx="14" formatCode="0.00E+00">
                  <c:v>4.6688986009999998E-11</c:v>
                </c:pt>
                <c:pt idx="15" formatCode="0.00E+00">
                  <c:v>2.8527735730000001E-11</c:v>
                </c:pt>
                <c:pt idx="16" formatCode="0.00E+00">
                  <c:v>1.7239432099999999E-11</c:v>
                </c:pt>
                <c:pt idx="17" formatCode="0.00E+00">
                  <c:v>1.0641376670000001E-11</c:v>
                </c:pt>
                <c:pt idx="18" formatCode="0.00E+00">
                  <c:v>6.4513949740000001E-12</c:v>
                </c:pt>
                <c:pt idx="19" formatCode="0.00E+00">
                  <c:v>3.9290792840000002E-12</c:v>
                </c:pt>
                <c:pt idx="20" formatCode="0.00E+00">
                  <c:v>2.406852495E-12</c:v>
                </c:pt>
                <c:pt idx="21" formatCode="0.00E+00">
                  <c:v>1.482147738E-12</c:v>
                </c:pt>
                <c:pt idx="22" formatCode="0.00E+00">
                  <c:v>8.9961371690000003E-13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E62-4E25-8408-E9469D9C01E0}"/>
            </c:ext>
          </c:extLst>
        </c:ser>
        <c:ser>
          <c:idx val="0"/>
          <c:order val="2"/>
          <c:tx>
            <c:v>iTAPAS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16'!$M$4:$M$10</c:f>
              <c:numCache>
                <c:formatCode>General</c:formatCode>
                <c:ptCount val="7"/>
                <c:pt idx="0">
                  <c:v>4.0000000000000001E-3</c:v>
                </c:pt>
                <c:pt idx="1">
                  <c:v>2.3E-2</c:v>
                </c:pt>
                <c:pt idx="2">
                  <c:v>4.1000000000000002E-2</c:v>
                </c:pt>
                <c:pt idx="3">
                  <c:v>5.8999999999999997E-2</c:v>
                </c:pt>
                <c:pt idx="4">
                  <c:v>0.08</c:v>
                </c:pt>
                <c:pt idx="5">
                  <c:v>0.10100000000000001</c:v>
                </c:pt>
                <c:pt idx="6">
                  <c:v>0.124</c:v>
                </c:pt>
              </c:numCache>
            </c:numRef>
          </c:xVal>
          <c:yVal>
            <c:numRef>
              <c:f>'Fig. 16'!$L$4:$L$10</c:f>
              <c:numCache>
                <c:formatCode>General</c:formatCode>
                <c:ptCount val="7"/>
                <c:pt idx="0">
                  <c:v>0.18126265690000001</c:v>
                </c:pt>
                <c:pt idx="1">
                  <c:v>3.455E-4</c:v>
                </c:pt>
                <c:pt idx="2" formatCode="0.00E+00">
                  <c:v>6.7520000000000004E-5</c:v>
                </c:pt>
                <c:pt idx="3" formatCode="0.00E+00">
                  <c:v>6.117E-6</c:v>
                </c:pt>
                <c:pt idx="4" formatCode="0.00E+00">
                  <c:v>1.8259999999999999E-8</c:v>
                </c:pt>
                <c:pt idx="5" formatCode="0.00E+00">
                  <c:v>1.4230000000000001E-8</c:v>
                </c:pt>
                <c:pt idx="6" formatCode="0.00E+00">
                  <c:v>4.4730000000000002E-13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DE62-4E25-8408-E9469D9C01E0}"/>
            </c:ext>
          </c:extLst>
        </c:ser>
        <c:ser>
          <c:idx val="13"/>
          <c:order val="3"/>
          <c:tx>
            <c:v>Eq-PBCD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'Fig. 16'!$R$4:$R$38</c:f>
              <c:numCache>
                <c:formatCode>General</c:formatCode>
                <c:ptCount val="35"/>
                <c:pt idx="0">
                  <c:v>1.1000156400000001E-2</c:v>
                </c:pt>
                <c:pt idx="1">
                  <c:v>1.399993896E-2</c:v>
                </c:pt>
                <c:pt idx="2">
                  <c:v>1.50001049E-2</c:v>
                </c:pt>
                <c:pt idx="3">
                  <c:v>1.6000032420000001E-2</c:v>
                </c:pt>
                <c:pt idx="4">
                  <c:v>1.6000032420000001E-2</c:v>
                </c:pt>
                <c:pt idx="5">
                  <c:v>1.6000032420000001E-2</c:v>
                </c:pt>
                <c:pt idx="6">
                  <c:v>1.6000032420000001E-2</c:v>
                </c:pt>
                <c:pt idx="7">
                  <c:v>3.2000064850000003E-2</c:v>
                </c:pt>
                <c:pt idx="8">
                  <c:v>4.6000003810000002E-2</c:v>
                </c:pt>
                <c:pt idx="9">
                  <c:v>4.800009727E-2</c:v>
                </c:pt>
                <c:pt idx="10">
                  <c:v>7.2999954219999996E-2</c:v>
                </c:pt>
                <c:pt idx="11">
                  <c:v>8.5000038149999999E-2</c:v>
                </c:pt>
                <c:pt idx="12">
                  <c:v>9.8000049589999999E-2</c:v>
                </c:pt>
                <c:pt idx="13">
                  <c:v>0.1080000401</c:v>
                </c:pt>
                <c:pt idx="14">
                  <c:v>0.120000124</c:v>
                </c:pt>
                <c:pt idx="15">
                  <c:v>0.13000011440000001</c:v>
                </c:pt>
                <c:pt idx="16">
                  <c:v>0.13000011440000001</c:v>
                </c:pt>
                <c:pt idx="17">
                  <c:v>0.14800000190000001</c:v>
                </c:pt>
                <c:pt idx="18">
                  <c:v>0.1679999828</c:v>
                </c:pt>
                <c:pt idx="19">
                  <c:v>0.17900013919999999</c:v>
                </c:pt>
                <c:pt idx="20">
                  <c:v>0.1800000668</c:v>
                </c:pt>
                <c:pt idx="21">
                  <c:v>0.20399999620000001</c:v>
                </c:pt>
                <c:pt idx="22">
                  <c:v>0.21600008009999999</c:v>
                </c:pt>
                <c:pt idx="23">
                  <c:v>0.22800016400000001</c:v>
                </c:pt>
                <c:pt idx="24">
                  <c:v>0.2400000095</c:v>
                </c:pt>
                <c:pt idx="25">
                  <c:v>0.25200009350000002</c:v>
                </c:pt>
                <c:pt idx="26">
                  <c:v>0.26600003239999997</c:v>
                </c:pt>
                <c:pt idx="27">
                  <c:v>0.27800011629999999</c:v>
                </c:pt>
                <c:pt idx="28">
                  <c:v>0.28600001339999997</c:v>
                </c:pt>
                <c:pt idx="29">
                  <c:v>0.29999995229999998</c:v>
                </c:pt>
                <c:pt idx="30">
                  <c:v>0.3110001087</c:v>
                </c:pt>
                <c:pt idx="31">
                  <c:v>0.32299995419999999</c:v>
                </c:pt>
                <c:pt idx="32">
                  <c:v>0.33000016209999999</c:v>
                </c:pt>
                <c:pt idx="33">
                  <c:v>0.33000016209999999</c:v>
                </c:pt>
                <c:pt idx="34">
                  <c:v>0.34500002860000001</c:v>
                </c:pt>
              </c:numCache>
            </c:numRef>
          </c:xVal>
          <c:yVal>
            <c:numRef>
              <c:f>'Fig. 16'!$Q$4:$Q$38</c:f>
              <c:numCache>
                <c:formatCode>General</c:formatCode>
                <c:ptCount val="35"/>
                <c:pt idx="0">
                  <c:v>0.18126265690000001</c:v>
                </c:pt>
                <c:pt idx="1">
                  <c:v>4.5432685289999997E-3</c:v>
                </c:pt>
                <c:pt idx="2">
                  <c:v>7.4547242980000001E-4</c:v>
                </c:pt>
                <c:pt idx="3">
                  <c:v>1.2376623169999999E-4</c:v>
                </c:pt>
                <c:pt idx="4" formatCode="0.00E+00">
                  <c:v>9.105704356E-6</c:v>
                </c:pt>
                <c:pt idx="5" formatCode="0.00E+00">
                  <c:v>2.9539033749999999E-6</c:v>
                </c:pt>
                <c:pt idx="6" formatCode="0.00E+00">
                  <c:v>2.3456001330000001E-7</c:v>
                </c:pt>
                <c:pt idx="7" formatCode="0.00E+00">
                  <c:v>1.850887821E-8</c:v>
                </c:pt>
                <c:pt idx="8" formatCode="0.00E+00">
                  <c:v>3.379872826E-9</c:v>
                </c:pt>
                <c:pt idx="9" formatCode="0.00E+00">
                  <c:v>1.8092386479999999E-9</c:v>
                </c:pt>
                <c:pt idx="10" formatCode="0.00E+00">
                  <c:v>1.242821179E-9</c:v>
                </c:pt>
                <c:pt idx="11" formatCode="0.00E+00">
                  <c:v>8.9138618710000005E-10</c:v>
                </c:pt>
                <c:pt idx="12" formatCode="0.00E+00">
                  <c:v>6.4717831089999996E-10</c:v>
                </c:pt>
                <c:pt idx="13" formatCode="0.00E+00">
                  <c:v>4.69437933E-10</c:v>
                </c:pt>
                <c:pt idx="14" formatCode="0.00E+00">
                  <c:v>3.4400660099999998E-10</c:v>
                </c:pt>
                <c:pt idx="15" formatCode="0.00E+00">
                  <c:v>2.5364566E-10</c:v>
                </c:pt>
                <c:pt idx="16" formatCode="0.00E+00">
                  <c:v>1.8726609150000001E-10</c:v>
                </c:pt>
                <c:pt idx="17" formatCode="0.00E+00">
                  <c:v>1.3856915610000001E-10</c:v>
                </c:pt>
                <c:pt idx="18" formatCode="0.00E+00">
                  <c:v>1.026946306E-10</c:v>
                </c:pt>
                <c:pt idx="19" formatCode="0.00E+00">
                  <c:v>7.6502915110000006E-11</c:v>
                </c:pt>
                <c:pt idx="20" formatCode="0.00E+00">
                  <c:v>5.6926907630000002E-11</c:v>
                </c:pt>
                <c:pt idx="21" formatCode="0.00E+00">
                  <c:v>4.2226333539999998E-11</c:v>
                </c:pt>
                <c:pt idx="22" formatCode="0.00E+00">
                  <c:v>3.1560420939999998E-11</c:v>
                </c:pt>
                <c:pt idx="23" formatCode="0.00E+00">
                  <c:v>2.351052686E-11</c:v>
                </c:pt>
                <c:pt idx="24" formatCode="0.00E+00">
                  <c:v>1.7694290480000001E-11</c:v>
                </c:pt>
                <c:pt idx="25" formatCode="0.00E+00">
                  <c:v>1.315247911E-11</c:v>
                </c:pt>
                <c:pt idx="26" formatCode="0.00E+00">
                  <c:v>9.7843955159999995E-12</c:v>
                </c:pt>
                <c:pt idx="27" formatCode="0.00E+00">
                  <c:v>7.3002714980000001E-12</c:v>
                </c:pt>
                <c:pt idx="28" formatCode="0.00E+00">
                  <c:v>5.4432014450000003E-12</c:v>
                </c:pt>
                <c:pt idx="29" formatCode="0.00E+00">
                  <c:v>4.0755177010000002E-12</c:v>
                </c:pt>
                <c:pt idx="30" formatCode="0.00E+00">
                  <c:v>3.055888875E-12</c:v>
                </c:pt>
                <c:pt idx="31" formatCode="0.00E+00">
                  <c:v>2.2730706209999998E-12</c:v>
                </c:pt>
                <c:pt idx="32" formatCode="0.00E+00">
                  <c:v>1.699640428E-12</c:v>
                </c:pt>
                <c:pt idx="33" formatCode="0.00E+00">
                  <c:v>1.266320382E-12</c:v>
                </c:pt>
                <c:pt idx="34" formatCode="0.00E+00">
                  <c:v>9.4324548170000005E-13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E62-4E25-8408-E9469D9C01E0}"/>
            </c:ext>
          </c:extLst>
        </c:ser>
        <c:ser>
          <c:idx val="5"/>
          <c:order val="8"/>
          <c:tx>
            <c:strRef>
              <c:f>'Fig. 16'!$U$2:$W$2</c:f>
              <c:strCache>
                <c:ptCount val="1"/>
                <c:pt idx="0">
                  <c:v>VC-PBCD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'Fig. 16'!$W$4:$W$17</c:f>
              <c:numCache>
                <c:formatCode>General</c:formatCode>
                <c:ptCount val="14"/>
                <c:pt idx="0">
                  <c:v>9.9992752079999998E-4</c:v>
                </c:pt>
                <c:pt idx="1">
                  <c:v>6.0000419619999999E-3</c:v>
                </c:pt>
                <c:pt idx="2">
                  <c:v>2.3999929430000001E-2</c:v>
                </c:pt>
                <c:pt idx="3">
                  <c:v>5.9000015259999997E-2</c:v>
                </c:pt>
                <c:pt idx="4">
                  <c:v>0.16599988939999999</c:v>
                </c:pt>
                <c:pt idx="5">
                  <c:v>0.33399987219999999</c:v>
                </c:pt>
                <c:pt idx="6">
                  <c:v>0.61999988559999997</c:v>
                </c:pt>
                <c:pt idx="7">
                  <c:v>0.91000008580000002</c:v>
                </c:pt>
                <c:pt idx="8">
                  <c:v>1.0699999330000001</c:v>
                </c:pt>
                <c:pt idx="9">
                  <c:v>1.246000051</c:v>
                </c:pt>
                <c:pt idx="10">
                  <c:v>1.4170000549999999</c:v>
                </c:pt>
                <c:pt idx="11">
                  <c:v>1.6169998649999999</c:v>
                </c:pt>
                <c:pt idx="12">
                  <c:v>1.767999887</c:v>
                </c:pt>
                <c:pt idx="13">
                  <c:v>1.914999962</c:v>
                </c:pt>
              </c:numCache>
            </c:numRef>
          </c:xVal>
          <c:yVal>
            <c:numRef>
              <c:f>'Fig. 16'!$V$4:$V$17</c:f>
              <c:numCache>
                <c:formatCode>General</c:formatCode>
                <c:ptCount val="14"/>
                <c:pt idx="0">
                  <c:v>0.18126265690000001</c:v>
                </c:pt>
                <c:pt idx="1">
                  <c:v>4.4356800379999999E-3</c:v>
                </c:pt>
                <c:pt idx="2">
                  <c:v>4.8293823870000001E-4</c:v>
                </c:pt>
                <c:pt idx="3" formatCode="0.00E+00">
                  <c:v>1.55084513E-5</c:v>
                </c:pt>
                <c:pt idx="4" formatCode="0.00E+00">
                  <c:v>3.080916423E-6</c:v>
                </c:pt>
                <c:pt idx="5" formatCode="0.00E+00">
                  <c:v>4.1283883549999999E-7</c:v>
                </c:pt>
                <c:pt idx="6" formatCode="0.00E+00">
                  <c:v>2.5725355960000002E-7</c:v>
                </c:pt>
                <c:pt idx="7" formatCode="0.00E+00">
                  <c:v>2.5690803360000002E-7</c:v>
                </c:pt>
                <c:pt idx="8" formatCode="0.00E+00">
                  <c:v>2.5556880700000002E-7</c:v>
                </c:pt>
                <c:pt idx="9" formatCode="0.00E+00">
                  <c:v>1.680072045E-7</c:v>
                </c:pt>
                <c:pt idx="10" formatCode="0.00E+00">
                  <c:v>1.6743249710000001E-7</c:v>
                </c:pt>
                <c:pt idx="11" formatCode="0.00E+00">
                  <c:v>1.6665513659999999E-7</c:v>
                </c:pt>
                <c:pt idx="12" formatCode="0.00E+00">
                  <c:v>1.6743249710000001E-7</c:v>
                </c:pt>
                <c:pt idx="13" formatCode="0.00E+00">
                  <c:v>5.4424201809999996E-9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E62-4E25-8408-E9469D9C01E0}"/>
            </c:ext>
          </c:extLst>
        </c:ser>
        <c:ser>
          <c:idx val="3"/>
          <c:order val="9"/>
          <c:tx>
            <c:v>VC-Eq-PBCD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16'!$AB$4:$AB$19</c:f>
              <c:numCache>
                <c:formatCode>General</c:formatCode>
                <c:ptCount val="16"/>
                <c:pt idx="0">
                  <c:v>9.9992752079999998E-4</c:v>
                </c:pt>
                <c:pt idx="1">
                  <c:v>4.0000000000000001E-3</c:v>
                </c:pt>
                <c:pt idx="2">
                  <c:v>5.0000000000000001E-3</c:v>
                </c:pt>
                <c:pt idx="3">
                  <c:v>6.0000000000000001E-3</c:v>
                </c:pt>
                <c:pt idx="4">
                  <c:v>8.0000000000000002E-3</c:v>
                </c:pt>
                <c:pt idx="5">
                  <c:v>0.01</c:v>
                </c:pt>
                <c:pt idx="6">
                  <c:v>1.7000000000000001E-2</c:v>
                </c:pt>
                <c:pt idx="7">
                  <c:v>1.9E-2</c:v>
                </c:pt>
                <c:pt idx="8">
                  <c:v>3.2000000000000001E-2</c:v>
                </c:pt>
                <c:pt idx="9">
                  <c:v>4.2000000000000003E-2</c:v>
                </c:pt>
                <c:pt idx="10">
                  <c:v>0.06</c:v>
                </c:pt>
                <c:pt idx="11">
                  <c:v>7.4999999999999997E-2</c:v>
                </c:pt>
                <c:pt idx="12">
                  <c:v>8.2000000000000003E-2</c:v>
                </c:pt>
                <c:pt idx="13">
                  <c:v>9.7000000000000003E-2</c:v>
                </c:pt>
                <c:pt idx="14">
                  <c:v>0.113</c:v>
                </c:pt>
                <c:pt idx="15">
                  <c:v>0.129</c:v>
                </c:pt>
              </c:numCache>
            </c:numRef>
          </c:xVal>
          <c:yVal>
            <c:numRef>
              <c:f>'Fig. 16'!$AA$4:$AA$19</c:f>
              <c:numCache>
                <c:formatCode>0.00E+00</c:formatCode>
                <c:ptCount val="16"/>
                <c:pt idx="0" formatCode="General">
                  <c:v>2.4220605020000001E-2</c:v>
                </c:pt>
                <c:pt idx="1">
                  <c:v>9.6596900000000001E-4</c:v>
                </c:pt>
                <c:pt idx="2">
                  <c:v>8.3036799999999998E-5</c:v>
                </c:pt>
                <c:pt idx="3">
                  <c:v>3.3431099999999999E-5</c:v>
                </c:pt>
                <c:pt idx="4">
                  <c:v>1.01286E-5</c:v>
                </c:pt>
                <c:pt idx="5">
                  <c:v>2.3740099999999999E-6</c:v>
                </c:pt>
                <c:pt idx="6">
                  <c:v>6.1649799999999999E-7</c:v>
                </c:pt>
                <c:pt idx="7">
                  <c:v>4.3495499999999999E-7</c:v>
                </c:pt>
                <c:pt idx="8">
                  <c:v>1.4243299999999999E-7</c:v>
                </c:pt>
                <c:pt idx="9">
                  <c:v>4.8877E-9</c:v>
                </c:pt>
                <c:pt idx="10">
                  <c:v>2.09855E-10</c:v>
                </c:pt>
                <c:pt idx="11">
                  <c:v>3.14258E-11</c:v>
                </c:pt>
                <c:pt idx="12">
                  <c:v>1.00141E-11</c:v>
                </c:pt>
                <c:pt idx="13">
                  <c:v>4.12347E-12</c:v>
                </c:pt>
                <c:pt idx="14">
                  <c:v>1.7416E-12</c:v>
                </c:pt>
                <c:pt idx="15">
                  <c:v>3.3641400000000001E-13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DE62-4E25-8408-E9469D9C0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4"/>
                <c:tx>
                  <c:v>iPBCD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[1]ML_Ana!$BK$42:$BK$77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2.5147128849999999E-2</c:v>
                      </c:pt>
                      <c:pt idx="1">
                        <c:v>3.6293741320000003E-2</c:v>
                      </c:pt>
                      <c:pt idx="2">
                        <c:v>4.7538522630000003E-2</c:v>
                      </c:pt>
                      <c:pt idx="3">
                        <c:v>5.4352555419999997E-2</c:v>
                      </c:pt>
                      <c:pt idx="4">
                        <c:v>6.8065792319999999E-2</c:v>
                      </c:pt>
                      <c:pt idx="5">
                        <c:v>8.525136858E-2</c:v>
                      </c:pt>
                      <c:pt idx="6">
                        <c:v>0.1019234732</c:v>
                      </c:pt>
                      <c:pt idx="7">
                        <c:v>0.13401062790000001</c:v>
                      </c:pt>
                      <c:pt idx="8">
                        <c:v>0.17509494719999999</c:v>
                      </c:pt>
                      <c:pt idx="9">
                        <c:v>0.21764961629999999</c:v>
                      </c:pt>
                      <c:pt idx="10">
                        <c:v>0.2526862137</c:v>
                      </c:pt>
                      <c:pt idx="11">
                        <c:v>0.28501001370000001</c:v>
                      </c:pt>
                      <c:pt idx="12">
                        <c:v>0.3181071989</c:v>
                      </c:pt>
                      <c:pt idx="13">
                        <c:v>0.35302636399999998</c:v>
                      </c:pt>
                      <c:pt idx="14">
                        <c:v>0.39672277500000003</c:v>
                      </c:pt>
                      <c:pt idx="15">
                        <c:v>0.43783987689999998</c:v>
                      </c:pt>
                      <c:pt idx="16">
                        <c:v>0.47635206949999997</c:v>
                      </c:pt>
                      <c:pt idx="17">
                        <c:v>0.51497893409999995</c:v>
                      </c:pt>
                      <c:pt idx="18">
                        <c:v>0.55382094900000001</c:v>
                      </c:pt>
                      <c:pt idx="19">
                        <c:v>0.59571607039999996</c:v>
                      </c:pt>
                      <c:pt idx="20">
                        <c:v>0.63618364189999999</c:v>
                      </c:pt>
                      <c:pt idx="21">
                        <c:v>0.66712633519999998</c:v>
                      </c:pt>
                      <c:pt idx="22">
                        <c:v>0.69773291800000004</c:v>
                      </c:pt>
                      <c:pt idx="23">
                        <c:v>0.72814420609999997</c:v>
                      </c:pt>
                      <c:pt idx="24">
                        <c:v>0.75875237579999999</c:v>
                      </c:pt>
                      <c:pt idx="25">
                        <c:v>0.78955931589999995</c:v>
                      </c:pt>
                      <c:pt idx="26">
                        <c:v>0.82115341350000004</c:v>
                      </c:pt>
                      <c:pt idx="27">
                        <c:v>0.85966430599999999</c:v>
                      </c:pt>
                      <c:pt idx="28">
                        <c:v>0.89527724310000001</c:v>
                      </c:pt>
                      <c:pt idx="29">
                        <c:v>0.92945044489999995</c:v>
                      </c:pt>
                      <c:pt idx="30">
                        <c:v>0.96648564560000005</c:v>
                      </c:pt>
                      <c:pt idx="31">
                        <c:v>1.014046896</c:v>
                      </c:pt>
                      <c:pt idx="32">
                        <c:v>1.054221928</c:v>
                      </c:pt>
                      <c:pt idx="33">
                        <c:v>1.0923769999999999</c:v>
                      </c:pt>
                      <c:pt idx="34">
                        <c:v>1.1303297910000001</c:v>
                      </c:pt>
                      <c:pt idx="35">
                        <c:v>1.1701951660000001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[1]ML_Ana!$BJ$42:$BJ$77</c15:sqref>
                        </c15:formulaRef>
                      </c:ext>
                    </c:extLst>
                    <c:numCache>
                      <c:formatCode>General</c:formatCode>
                      <c:ptCount val="36"/>
                      <c:pt idx="0">
                        <c:v>0.18126265690000001</c:v>
                      </c:pt>
                      <c:pt idx="1">
                        <c:v>4.969327846E-3</c:v>
                      </c:pt>
                      <c:pt idx="2">
                        <c:v>8.1675782329999999E-4</c:v>
                      </c:pt>
                      <c:pt idx="3">
                        <c:v>1.013297744E-4</c:v>
                      </c:pt>
                      <c:pt idx="4">
                        <c:v>7.144100074E-6</c:v>
                      </c:pt>
                      <c:pt idx="5">
                        <c:v>2.9188576110000002E-6</c:v>
                      </c:pt>
                      <c:pt idx="6">
                        <c:v>2.6749954729999999E-7</c:v>
                      </c:pt>
                      <c:pt idx="7">
                        <c:v>2.2264206369999998E-8</c:v>
                      </c:pt>
                      <c:pt idx="8">
                        <c:v>3.7783851600000002E-9</c:v>
                      </c:pt>
                      <c:pt idx="9">
                        <c:v>2.0314835370000001E-9</c:v>
                      </c:pt>
                      <c:pt idx="10">
                        <c:v>1.401340155E-9</c:v>
                      </c:pt>
                      <c:pt idx="11">
                        <c:v>9.9892860650000009E-10</c:v>
                      </c:pt>
                      <c:pt idx="12">
                        <c:v>7.2127503970000004E-10</c:v>
                      </c:pt>
                      <c:pt idx="13">
                        <c:v>5.2511839320000001E-10</c:v>
                      </c:pt>
                      <c:pt idx="14">
                        <c:v>3.8480096890000001E-10</c:v>
                      </c:pt>
                      <c:pt idx="15">
                        <c:v>2.8394964159999999E-10</c:v>
                      </c:pt>
                      <c:pt idx="16">
                        <c:v>2.086288919E-10</c:v>
                      </c:pt>
                      <c:pt idx="17">
                        <c:v>1.5408618830000001E-10</c:v>
                      </c:pt>
                      <c:pt idx="18">
                        <c:v>1.151949647E-10</c:v>
                      </c:pt>
                      <c:pt idx="19">
                        <c:v>8.5751850070000001E-11</c:v>
                      </c:pt>
                      <c:pt idx="20">
                        <c:v>6.3538285739999996E-11</c:v>
                      </c:pt>
                      <c:pt idx="21">
                        <c:v>4.7334136610000003E-11</c:v>
                      </c:pt>
                      <c:pt idx="22">
                        <c:v>3.5359937199999997E-11</c:v>
                      </c:pt>
                      <c:pt idx="23">
                        <c:v>2.636479923E-11</c:v>
                      </c:pt>
                      <c:pt idx="24">
                        <c:v>1.9716006609999999E-11</c:v>
                      </c:pt>
                      <c:pt idx="25">
                        <c:v>1.46642698E-11</c:v>
                      </c:pt>
                      <c:pt idx="26">
                        <c:v>1.097466562E-11</c:v>
                      </c:pt>
                      <c:pt idx="27">
                        <c:v>8.2042150850000004E-12</c:v>
                      </c:pt>
                      <c:pt idx="28">
                        <c:v>6.1447513739999997E-12</c:v>
                      </c:pt>
                      <c:pt idx="29">
                        <c:v>4.5894399389999998E-12</c:v>
                      </c:pt>
                      <c:pt idx="30">
                        <c:v>3.4238167860000001E-12</c:v>
                      </c:pt>
                      <c:pt idx="31">
                        <c:v>2.5540680680000002E-12</c:v>
                      </c:pt>
                      <c:pt idx="32">
                        <c:v>1.9061419110000001E-12</c:v>
                      </c:pt>
                      <c:pt idx="33">
                        <c:v>1.4350742820000001E-12</c:v>
                      </c:pt>
                      <c:pt idx="34">
                        <c:v>1.068256594E-12</c:v>
                      </c:pt>
                      <c:pt idx="35">
                        <c:v>7.9869444390000004E-13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6-DE62-4E25-8408-E9469D9C01E0}"/>
                  </c:ext>
                </c:extLst>
              </c15:ser>
            </c15:filteredScatterSeries>
            <c15:filteredScatterSeries>
              <c15:ser>
                <c:idx val="11"/>
                <c:order val="5"/>
                <c:tx>
                  <c:v>ML-PBCD</c:v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[1]ML_Ana!$H$86:$H$104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1.2644607570000001E-2</c:v>
                      </c:pt>
                      <c:pt idx="1">
                        <c:v>2.7E-2</c:v>
                      </c:pt>
                      <c:pt idx="2">
                        <c:v>3.5999999999999997E-2</c:v>
                      </c:pt>
                      <c:pt idx="3">
                        <c:v>4.3999999999999997E-2</c:v>
                      </c:pt>
                      <c:pt idx="4">
                        <c:v>5.1999999999999998E-2</c:v>
                      </c:pt>
                      <c:pt idx="5">
                        <c:v>5.8999999999999997E-2</c:v>
                      </c:pt>
                      <c:pt idx="6">
                        <c:v>6.7000000000000004E-2</c:v>
                      </c:pt>
                      <c:pt idx="7">
                        <c:v>7.3999999999999996E-2</c:v>
                      </c:pt>
                      <c:pt idx="8">
                        <c:v>8.2000000000000003E-2</c:v>
                      </c:pt>
                      <c:pt idx="9">
                        <c:v>9.0999999999999998E-2</c:v>
                      </c:pt>
                      <c:pt idx="10">
                        <c:v>0.108</c:v>
                      </c:pt>
                      <c:pt idx="11">
                        <c:v>0.126</c:v>
                      </c:pt>
                      <c:pt idx="12">
                        <c:v>0.14299999999999999</c:v>
                      </c:pt>
                      <c:pt idx="13">
                        <c:v>0.16400000000000001</c:v>
                      </c:pt>
                      <c:pt idx="14">
                        <c:v>0.18099999999999999</c:v>
                      </c:pt>
                      <c:pt idx="15">
                        <c:v>0.20300000000000001</c:v>
                      </c:pt>
                      <c:pt idx="16">
                        <c:v>0.222</c:v>
                      </c:pt>
                      <c:pt idx="17">
                        <c:v>0.245</c:v>
                      </c:pt>
                      <c:pt idx="18">
                        <c:v>0.26700000000000002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[1]ML_Ana!$G$86:$G$104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0.78692275909999998</c:v>
                      </c:pt>
                      <c:pt idx="1">
                        <c:v>5.6946700000000003E-2</c:v>
                      </c:pt>
                      <c:pt idx="2">
                        <c:v>7.7423800000000001E-2</c:v>
                      </c:pt>
                      <c:pt idx="3">
                        <c:v>1.4394499999999999E-2</c:v>
                      </c:pt>
                      <c:pt idx="4">
                        <c:v>2.4166E-2</c:v>
                      </c:pt>
                      <c:pt idx="5">
                        <c:v>7.6981100000000002E-3</c:v>
                      </c:pt>
                      <c:pt idx="6">
                        <c:v>1.7940300000000001E-3</c:v>
                      </c:pt>
                      <c:pt idx="7">
                        <c:v>5.5111899999999998E-4</c:v>
                      </c:pt>
                      <c:pt idx="8">
                        <c:v>1.9452400000000001E-4</c:v>
                      </c:pt>
                      <c:pt idx="9">
                        <c:v>5.4694600000000003E-5</c:v>
                      </c:pt>
                      <c:pt idx="10">
                        <c:v>1.25015E-5</c:v>
                      </c:pt>
                      <c:pt idx="11">
                        <c:v>1.93366E-6</c:v>
                      </c:pt>
                      <c:pt idx="12">
                        <c:v>2.1488600000000001E-7</c:v>
                      </c:pt>
                      <c:pt idx="13">
                        <c:v>3.83497E-8</c:v>
                      </c:pt>
                      <c:pt idx="14">
                        <c:v>4.4045599999999999E-9</c:v>
                      </c:pt>
                      <c:pt idx="15">
                        <c:v>6.0000699999999995E-10</c:v>
                      </c:pt>
                      <c:pt idx="16">
                        <c:v>5.5860499999999999E-11</c:v>
                      </c:pt>
                      <c:pt idx="17">
                        <c:v>6.1423099999999999E-12</c:v>
                      </c:pt>
                      <c:pt idx="18">
                        <c:v>7.1725399999999998E-13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E62-4E25-8408-E9469D9C01E0}"/>
                  </c:ext>
                </c:extLst>
              </c15:ser>
            </c15:filteredScatterSeries>
            <c15:filteredScatterSeries>
              <c15:ser>
                <c:idx val="1"/>
                <c:order val="6"/>
                <c:tx>
                  <c:v>EC-PBCD</c:v>
                </c:tx>
                <c:spPr>
                  <a:ln w="19050" cap="rnd">
                    <a:solidFill>
                      <a:srgbClr val="7030A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[1]ML_Ana!$AL$3:$AL$34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1.6000032420000001E-2</c:v>
                      </c:pt>
                      <c:pt idx="1">
                        <c:v>1.6000032420000001E-2</c:v>
                      </c:pt>
                      <c:pt idx="2">
                        <c:v>1.6000032420000001E-2</c:v>
                      </c:pt>
                      <c:pt idx="3">
                        <c:v>1.6000032420000001E-2</c:v>
                      </c:pt>
                      <c:pt idx="4">
                        <c:v>1.6000032420000001E-2</c:v>
                      </c:pt>
                      <c:pt idx="5">
                        <c:v>1.6000032420000001E-2</c:v>
                      </c:pt>
                      <c:pt idx="6">
                        <c:v>3.500008583E-2</c:v>
                      </c:pt>
                      <c:pt idx="7">
                        <c:v>4.2000055309999999E-2</c:v>
                      </c:pt>
                      <c:pt idx="8">
                        <c:v>5.0999879839999998E-2</c:v>
                      </c:pt>
                      <c:pt idx="9">
                        <c:v>6.8000078199999994E-2</c:v>
                      </c:pt>
                      <c:pt idx="10">
                        <c:v>9.5999956129999994E-2</c:v>
                      </c:pt>
                      <c:pt idx="11">
                        <c:v>0.111000061</c:v>
                      </c:pt>
                      <c:pt idx="12">
                        <c:v>0.11599993710000001</c:v>
                      </c:pt>
                      <c:pt idx="13">
                        <c:v>0.13199996950000001</c:v>
                      </c:pt>
                      <c:pt idx="14">
                        <c:v>0.14800000190000001</c:v>
                      </c:pt>
                      <c:pt idx="15">
                        <c:v>0.16599988939999999</c:v>
                      </c:pt>
                      <c:pt idx="16">
                        <c:v>0.16599988939999999</c:v>
                      </c:pt>
                      <c:pt idx="17">
                        <c:v>0.18199992179999999</c:v>
                      </c:pt>
                      <c:pt idx="18">
                        <c:v>0.1970000267</c:v>
                      </c:pt>
                      <c:pt idx="19">
                        <c:v>0.2130000591</c:v>
                      </c:pt>
                      <c:pt idx="20">
                        <c:v>0.22900009160000001</c:v>
                      </c:pt>
                      <c:pt idx="21">
                        <c:v>0.24399995799999999</c:v>
                      </c:pt>
                      <c:pt idx="22">
                        <c:v>0.260999918</c:v>
                      </c:pt>
                      <c:pt idx="23">
                        <c:v>0.27600002289999997</c:v>
                      </c:pt>
                      <c:pt idx="24">
                        <c:v>0.28800010679999999</c:v>
                      </c:pt>
                      <c:pt idx="25">
                        <c:v>0.30200004580000001</c:v>
                      </c:pt>
                      <c:pt idx="26">
                        <c:v>0.30900001529999999</c:v>
                      </c:pt>
                      <c:pt idx="27">
                        <c:v>0.32299995419999999</c:v>
                      </c:pt>
                      <c:pt idx="28">
                        <c:v>0.34200000759999999</c:v>
                      </c:pt>
                      <c:pt idx="29">
                        <c:v>0.35500001910000001</c:v>
                      </c:pt>
                      <c:pt idx="30">
                        <c:v>0.36999988560000002</c:v>
                      </c:pt>
                      <c:pt idx="31">
                        <c:v>0.36999988560000002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[1]ML_Ana!$AK$3:$AK$34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0.18126265690000001</c:v>
                      </c:pt>
                      <c:pt idx="1">
                        <c:v>4.8574499079999996E-3</c:v>
                      </c:pt>
                      <c:pt idx="2">
                        <c:v>6.2179960440000002E-4</c:v>
                      </c:pt>
                      <c:pt idx="3">
                        <c:v>1.3318991359999999E-4</c:v>
                      </c:pt>
                      <c:pt idx="4">
                        <c:v>1.4760672079999999E-5</c:v>
                      </c:pt>
                      <c:pt idx="5">
                        <c:v>2.8664411880000001E-6</c:v>
                      </c:pt>
                      <c:pt idx="6">
                        <c:v>1.2813376680000001E-7</c:v>
                      </c:pt>
                      <c:pt idx="7">
                        <c:v>9.5062545610000001E-9</c:v>
                      </c:pt>
                      <c:pt idx="8">
                        <c:v>3.5365772530000002E-9</c:v>
                      </c:pt>
                      <c:pt idx="9">
                        <c:v>2.3140137579999999E-9</c:v>
                      </c:pt>
                      <c:pt idx="10">
                        <c:v>1.6152752469999999E-9</c:v>
                      </c:pt>
                      <c:pt idx="11">
                        <c:v>1.140061934E-9</c:v>
                      </c:pt>
                      <c:pt idx="12">
                        <c:v>8.2041040629999995E-10</c:v>
                      </c:pt>
                      <c:pt idx="13">
                        <c:v>5.9288673969999996E-10</c:v>
                      </c:pt>
                      <c:pt idx="14">
                        <c:v>4.3247405659999998E-10</c:v>
                      </c:pt>
                      <c:pt idx="15">
                        <c:v>3.1693447870000001E-10</c:v>
                      </c:pt>
                      <c:pt idx="16">
                        <c:v>2.339642924E-10</c:v>
                      </c:pt>
                      <c:pt idx="17">
                        <c:v>1.7296453160000001E-10</c:v>
                      </c:pt>
                      <c:pt idx="18">
                        <c:v>1.280532347E-10</c:v>
                      </c:pt>
                      <c:pt idx="19">
                        <c:v>9.4945051819999998E-11</c:v>
                      </c:pt>
                      <c:pt idx="20">
                        <c:v>7.0407124570000001E-11</c:v>
                      </c:pt>
                      <c:pt idx="21">
                        <c:v>5.2643556179999997E-11</c:v>
                      </c:pt>
                      <c:pt idx="22">
                        <c:v>3.9229841600000002E-11</c:v>
                      </c:pt>
                      <c:pt idx="23">
                        <c:v>2.922173614E-11</c:v>
                      </c:pt>
                      <c:pt idx="24">
                        <c:v>2.177802383E-11</c:v>
                      </c:pt>
                      <c:pt idx="25">
                        <c:v>1.626010437E-11</c:v>
                      </c:pt>
                      <c:pt idx="26">
                        <c:v>1.214861545E-11</c:v>
                      </c:pt>
                      <c:pt idx="27">
                        <c:v>9.0365492870000007E-12</c:v>
                      </c:pt>
                      <c:pt idx="28">
                        <c:v>6.7699179599999996E-12</c:v>
                      </c:pt>
                      <c:pt idx="29">
                        <c:v>5.0403015089999996E-12</c:v>
                      </c:pt>
                      <c:pt idx="30">
                        <c:v>3.7658764999999997E-12</c:v>
                      </c:pt>
                      <c:pt idx="31">
                        <c:v>2.8085311849999999E-12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E62-4E25-8408-E9469D9C01E0}"/>
                  </c:ext>
                </c:extLst>
              </c15:ser>
            </c15:filteredScatterSeries>
            <c15:filteredScatterSeries>
              <c15:ser>
                <c:idx val="2"/>
                <c:order val="7"/>
                <c:tx>
                  <c:v>VC-PBCD</c:v>
                </c:tx>
                <c:spPr>
                  <a:ln w="19050" cap="rnd">
                    <a:solidFill>
                      <a:srgbClr val="FF000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[1]ML_Ana!$CL$3:$CL$34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3.0000209809999999E-3</c:v>
                      </c:pt>
                      <c:pt idx="1">
                        <c:v>6.9999694819999998E-3</c:v>
                      </c:pt>
                      <c:pt idx="2">
                        <c:v>9.9999904629999997E-3</c:v>
                      </c:pt>
                      <c:pt idx="3">
                        <c:v>1.399993896E-2</c:v>
                      </c:pt>
                      <c:pt idx="4">
                        <c:v>2.099990845E-2</c:v>
                      </c:pt>
                      <c:pt idx="5">
                        <c:v>4.2999982829999998E-2</c:v>
                      </c:pt>
                      <c:pt idx="6">
                        <c:v>6.9999933240000006E-2</c:v>
                      </c:pt>
                      <c:pt idx="7">
                        <c:v>0.10999989509999999</c:v>
                      </c:pt>
                      <c:pt idx="8">
                        <c:v>0.14800000190000001</c:v>
                      </c:pt>
                      <c:pt idx="9">
                        <c:v>0.18299984929999999</c:v>
                      </c:pt>
                      <c:pt idx="10">
                        <c:v>0.21700000759999999</c:v>
                      </c:pt>
                      <c:pt idx="11">
                        <c:v>0.2509999275</c:v>
                      </c:pt>
                      <c:pt idx="12">
                        <c:v>0.28600001339999997</c:v>
                      </c:pt>
                      <c:pt idx="13">
                        <c:v>0.31900000569999998</c:v>
                      </c:pt>
                      <c:pt idx="14">
                        <c:v>0.35299992559999999</c:v>
                      </c:pt>
                      <c:pt idx="15">
                        <c:v>0.38800001140000001</c:v>
                      </c:pt>
                      <c:pt idx="16">
                        <c:v>0.42199993130000002</c:v>
                      </c:pt>
                      <c:pt idx="17">
                        <c:v>0.45499992369999998</c:v>
                      </c:pt>
                      <c:pt idx="18">
                        <c:v>0.49099993710000001</c:v>
                      </c:pt>
                      <c:pt idx="19">
                        <c:v>0.52399992939999995</c:v>
                      </c:pt>
                      <c:pt idx="20">
                        <c:v>0.55699992180000002</c:v>
                      </c:pt>
                      <c:pt idx="21">
                        <c:v>0.59099984169999997</c:v>
                      </c:pt>
                      <c:pt idx="22">
                        <c:v>0.62399983410000004</c:v>
                      </c:pt>
                      <c:pt idx="23">
                        <c:v>0.65799999239999996</c:v>
                      </c:pt>
                      <c:pt idx="24">
                        <c:v>0.69199991230000002</c:v>
                      </c:pt>
                      <c:pt idx="25">
                        <c:v>0.72599983219999997</c:v>
                      </c:pt>
                      <c:pt idx="26">
                        <c:v>0.75900006289999999</c:v>
                      </c:pt>
                      <c:pt idx="27">
                        <c:v>0.79200005529999995</c:v>
                      </c:pt>
                      <c:pt idx="28">
                        <c:v>0.82599997520000001</c:v>
                      </c:pt>
                      <c:pt idx="29">
                        <c:v>0.85899996759999997</c:v>
                      </c:pt>
                      <c:pt idx="30">
                        <c:v>0.89400005339999999</c:v>
                      </c:pt>
                      <c:pt idx="31">
                        <c:v>0.92799997329999995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[1]ML_Ana!$CK$3:$CK$34</c15:sqref>
                        </c15:formulaRef>
                      </c:ext>
                    </c:extLst>
                    <c:numCache>
                      <c:formatCode>General</c:formatCode>
                      <c:ptCount val="32"/>
                      <c:pt idx="0">
                        <c:v>0.18126265690000001</c:v>
                      </c:pt>
                      <c:pt idx="1">
                        <c:v>4.6889734190000004E-3</c:v>
                      </c:pt>
                      <c:pt idx="2">
                        <c:v>5.2749166530000004E-4</c:v>
                      </c:pt>
                      <c:pt idx="3">
                        <c:v>1.001270597E-4</c:v>
                      </c:pt>
                      <c:pt idx="4">
                        <c:v>3.9858633600000003E-6</c:v>
                      </c:pt>
                      <c:pt idx="5">
                        <c:v>1.717207951E-7</c:v>
                      </c:pt>
                      <c:pt idx="6">
                        <c:v>8.1528217510000007E-9</c:v>
                      </c:pt>
                      <c:pt idx="7">
                        <c:v>2.3221772279999999E-9</c:v>
                      </c:pt>
                      <c:pt idx="8">
                        <c:v>1.5505940980000001E-9</c:v>
                      </c:pt>
                      <c:pt idx="9">
                        <c:v>1.0996920039999999E-9</c:v>
                      </c:pt>
                      <c:pt idx="10">
                        <c:v>7.8808881639999999E-10</c:v>
                      </c:pt>
                      <c:pt idx="11">
                        <c:v>5.714761997E-10</c:v>
                      </c:pt>
                      <c:pt idx="12">
                        <c:v>4.173797974E-10</c:v>
                      </c:pt>
                      <c:pt idx="13">
                        <c:v>3.0648872330000002E-10</c:v>
                      </c:pt>
                      <c:pt idx="14">
                        <c:v>2.26659691E-10</c:v>
                      </c:pt>
                      <c:pt idx="15">
                        <c:v>1.6753698429999999E-10</c:v>
                      </c:pt>
                      <c:pt idx="16">
                        <c:v>1.243669612E-10</c:v>
                      </c:pt>
                      <c:pt idx="17">
                        <c:v>9.2194363249999997E-11</c:v>
                      </c:pt>
                      <c:pt idx="18">
                        <c:v>6.8576810900000001E-11</c:v>
                      </c:pt>
                      <c:pt idx="19">
                        <c:v>5.1156745509999999E-11</c:v>
                      </c:pt>
                      <c:pt idx="20">
                        <c:v>3.8110292700000002E-11</c:v>
                      </c:pt>
                      <c:pt idx="21">
                        <c:v>2.8397839639999999E-11</c:v>
                      </c:pt>
                      <c:pt idx="22">
                        <c:v>2.1166957080000001E-11</c:v>
                      </c:pt>
                      <c:pt idx="23">
                        <c:v>1.5778267579999998E-11</c:v>
                      </c:pt>
                      <c:pt idx="24">
                        <c:v>1.180044951E-11</c:v>
                      </c:pt>
                      <c:pt idx="25">
                        <c:v>8.8224982869999999E-12</c:v>
                      </c:pt>
                      <c:pt idx="26">
                        <c:v>6.5761840420000001E-12</c:v>
                      </c:pt>
                      <c:pt idx="27">
                        <c:v>4.912403817E-12</c:v>
                      </c:pt>
                      <c:pt idx="28">
                        <c:v>3.6736169659999996E-12</c:v>
                      </c:pt>
                      <c:pt idx="29">
                        <c:v>2.7540192350000001E-12</c:v>
                      </c:pt>
                      <c:pt idx="30">
                        <c:v>2.0506929490000001E-12</c:v>
                      </c:pt>
                      <c:pt idx="31">
                        <c:v>1.5276668820000001E-12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DE62-4E25-8408-E9469D9C01E0}"/>
                  </c:ext>
                </c:extLst>
              </c15:ser>
            </c15:filteredScatterSeries>
          </c:ext>
        </c:extLst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1.1842675934296425E-2"/>
              <c:y val="0.3832775880266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7084863344381127"/>
          <c:y val="9.9483768865932326E-2"/>
          <c:w val="0.19038333862438725"/>
          <c:h val="0.27566230277361858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CS-2025</a:t>
            </a:r>
            <a:endParaRPr lang="en-US"/>
          </a:p>
        </c:rich>
      </c:tx>
      <c:layout>
        <c:manualLayout>
          <c:xMode val="edge"/>
          <c:yMode val="edge"/>
          <c:x val="0.4784166275554414"/>
          <c:y val="4.2661082635171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3764162894684701"/>
          <c:y val="8.7877816819971519E-2"/>
          <c:w val="0.83152200239848995"/>
          <c:h val="0.78208821434012443"/>
        </c:manualLayout>
      </c:layout>
      <c:scatterChart>
        <c:scatterStyle val="lineMarker"/>
        <c:varyColors val="0"/>
        <c:ser>
          <c:idx val="6"/>
          <c:order val="0"/>
          <c:tx>
            <c:v>iGP</c:v>
          </c:tx>
          <c:spPr>
            <a:ln w="19050" cap="rnd">
              <a:solidFill>
                <a:sysClr val="windowText" lastClr="000000"/>
              </a:solidFill>
              <a:round/>
            </a:ln>
            <a:effectLst/>
          </c:spPr>
          <c:marker>
            <c:symbol val="none"/>
          </c:marker>
          <c:xVal>
            <c:numRef>
              <c:f>'Fig. 16'!$C$47:$C$63</c:f>
              <c:numCache>
                <c:formatCode>General</c:formatCode>
                <c:ptCount val="17"/>
                <c:pt idx="0">
                  <c:v>7.9000000000000001E-2</c:v>
                </c:pt>
                <c:pt idx="1">
                  <c:v>0.23699999999999999</c:v>
                </c:pt>
                <c:pt idx="2">
                  <c:v>0.34799999999999998</c:v>
                </c:pt>
                <c:pt idx="3">
                  <c:v>0.45900000000000002</c:v>
                </c:pt>
                <c:pt idx="4">
                  <c:v>0.55300000000000005</c:v>
                </c:pt>
                <c:pt idx="5">
                  <c:v>0.64800000000000002</c:v>
                </c:pt>
                <c:pt idx="6">
                  <c:v>0.74299999999999999</c:v>
                </c:pt>
                <c:pt idx="7">
                  <c:v>0.83799999999999997</c:v>
                </c:pt>
                <c:pt idx="8">
                  <c:v>0.93400000000000005</c:v>
                </c:pt>
                <c:pt idx="9">
                  <c:v>1.06</c:v>
                </c:pt>
                <c:pt idx="10">
                  <c:v>1.202</c:v>
                </c:pt>
                <c:pt idx="11">
                  <c:v>1.329</c:v>
                </c:pt>
                <c:pt idx="12">
                  <c:v>1.44</c:v>
                </c:pt>
                <c:pt idx="13">
                  <c:v>1.5660000000000001</c:v>
                </c:pt>
                <c:pt idx="14">
                  <c:v>1.6779999999999999</c:v>
                </c:pt>
                <c:pt idx="15">
                  <c:v>1.796</c:v>
                </c:pt>
                <c:pt idx="16">
                  <c:v>1.895</c:v>
                </c:pt>
              </c:numCache>
            </c:numRef>
          </c:xVal>
          <c:yVal>
            <c:numRef>
              <c:f>'Fig. 16'!$B$47:$B$63</c:f>
              <c:numCache>
                <c:formatCode>General</c:formatCode>
                <c:ptCount val="17"/>
                <c:pt idx="0">
                  <c:v>0.83635351250000001</c:v>
                </c:pt>
                <c:pt idx="1">
                  <c:v>1.6840601270000002E-2</c:v>
                </c:pt>
                <c:pt idx="2">
                  <c:v>3.675726601E-3</c:v>
                </c:pt>
                <c:pt idx="3">
                  <c:v>9.5961515120000004E-4</c:v>
                </c:pt>
                <c:pt idx="4">
                  <c:v>2.9871499460000002E-4</c:v>
                </c:pt>
                <c:pt idx="5">
                  <c:v>1.179014076E-4</c:v>
                </c:pt>
                <c:pt idx="6" formatCode="0.00E+00">
                  <c:v>3.6810869609999998E-5</c:v>
                </c:pt>
                <c:pt idx="7" formatCode="0.00E+00">
                  <c:v>1.1446660860000001E-5</c:v>
                </c:pt>
                <c:pt idx="8" formatCode="0.00E+00">
                  <c:v>2.4112401439999998E-6</c:v>
                </c:pt>
                <c:pt idx="9" formatCode="0.00E+00">
                  <c:v>2.24798029E-7</c:v>
                </c:pt>
                <c:pt idx="10" formatCode="0.00E+00">
                  <c:v>2.6287413020000001E-8</c:v>
                </c:pt>
                <c:pt idx="11" formatCode="0.00E+00">
                  <c:v>1.797525462E-9</c:v>
                </c:pt>
                <c:pt idx="12" formatCode="0.00E+00">
                  <c:v>3.8051095610000001E-10</c:v>
                </c:pt>
                <c:pt idx="13" formatCode="0.00E+00">
                  <c:v>6.4956817699999996E-11</c:v>
                </c:pt>
                <c:pt idx="14" formatCode="0.00E+00">
                  <c:v>8.7113649630000006E-12</c:v>
                </c:pt>
                <c:pt idx="15" formatCode="0.00E+00">
                  <c:v>1.415534356E-12</c:v>
                </c:pt>
                <c:pt idx="16" formatCode="0.00E+00">
                  <c:v>2.258193632E-13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CC-4ACE-B0D2-48ABBC5E5845}"/>
            </c:ext>
          </c:extLst>
        </c:ser>
        <c:ser>
          <c:idx val="3"/>
          <c:order val="1"/>
          <c:tx>
            <c:v>iGreedy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'Fig. 16'!$H$47:$H$62</c:f>
              <c:numCache>
                <c:formatCode>General</c:formatCode>
                <c:ptCount val="16"/>
                <c:pt idx="0">
                  <c:v>5.0333333333333334E-2</c:v>
                </c:pt>
                <c:pt idx="1">
                  <c:v>0.151</c:v>
                </c:pt>
                <c:pt idx="2">
                  <c:v>0.28599999999999998</c:v>
                </c:pt>
                <c:pt idx="3">
                  <c:v>0.39700000000000002</c:v>
                </c:pt>
                <c:pt idx="4">
                  <c:v>0.5</c:v>
                </c:pt>
                <c:pt idx="5">
                  <c:v>0.60299999999999998</c:v>
                </c:pt>
                <c:pt idx="6">
                  <c:v>0.70299999999999996</c:v>
                </c:pt>
                <c:pt idx="7">
                  <c:v>0.81699999999999995</c:v>
                </c:pt>
                <c:pt idx="8">
                  <c:v>0.91800000000000004</c:v>
                </c:pt>
                <c:pt idx="9">
                  <c:v>1.0329999999999999</c:v>
                </c:pt>
                <c:pt idx="10">
                  <c:v>1.167</c:v>
                </c:pt>
                <c:pt idx="11">
                  <c:v>1.3</c:v>
                </c:pt>
                <c:pt idx="12">
                  <c:v>1.4119999999999999</c:v>
                </c:pt>
                <c:pt idx="13">
                  <c:v>1.524</c:v>
                </c:pt>
                <c:pt idx="14">
                  <c:v>1.631</c:v>
                </c:pt>
                <c:pt idx="15">
                  <c:v>1.7509999999999999</c:v>
                </c:pt>
              </c:numCache>
            </c:numRef>
          </c:xVal>
          <c:yVal>
            <c:numRef>
              <c:f>'Fig. 16'!$G$47:$G$62</c:f>
              <c:numCache>
                <c:formatCode>General</c:formatCode>
                <c:ptCount val="16"/>
                <c:pt idx="0">
                  <c:v>0.83635400000000004</c:v>
                </c:pt>
                <c:pt idx="1">
                  <c:v>2.059257934E-2</c:v>
                </c:pt>
                <c:pt idx="2">
                  <c:v>4.012583563E-3</c:v>
                </c:pt>
                <c:pt idx="3">
                  <c:v>1.159743638E-3</c:v>
                </c:pt>
                <c:pt idx="4">
                  <c:v>2.9244797960000001E-4</c:v>
                </c:pt>
                <c:pt idx="5">
                  <c:v>1.2899241279999999E-4</c:v>
                </c:pt>
                <c:pt idx="6" formatCode="0.00E+00">
                  <c:v>2.755177735E-5</c:v>
                </c:pt>
                <c:pt idx="7" formatCode="0.00E+00">
                  <c:v>6.2876419570000002E-6</c:v>
                </c:pt>
                <c:pt idx="8" formatCode="0.00E+00">
                  <c:v>8.2925433139999996E-7</c:v>
                </c:pt>
                <c:pt idx="9" formatCode="0.00E+00">
                  <c:v>9.5413336900000005E-8</c:v>
                </c:pt>
                <c:pt idx="10" formatCode="0.00E+00">
                  <c:v>1.187538445E-8</c:v>
                </c:pt>
                <c:pt idx="11" formatCode="0.00E+00">
                  <c:v>1.335425659E-9</c:v>
                </c:pt>
                <c:pt idx="12" formatCode="0.00E+00">
                  <c:v>1.453597243E-10</c:v>
                </c:pt>
                <c:pt idx="13" formatCode="0.00E+00">
                  <c:v>1.913558201E-11</c:v>
                </c:pt>
                <c:pt idx="14" formatCode="0.00E+00">
                  <c:v>2.1234125570000002E-12</c:v>
                </c:pt>
                <c:pt idx="15" formatCode="0.00E+00">
                  <c:v>2.6700863740000001E-13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DCC-4ACE-B0D2-48ABBC5E5845}"/>
            </c:ext>
          </c:extLst>
        </c:ser>
        <c:ser>
          <c:idx val="0"/>
          <c:order val="2"/>
          <c:tx>
            <c:v>iTAPAS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16'!$M$47:$M$58</c:f>
              <c:numCache>
                <c:formatCode>General</c:formatCode>
                <c:ptCount val="12"/>
                <c:pt idx="0">
                  <c:v>9.9000000000000005E-2</c:v>
                </c:pt>
                <c:pt idx="1">
                  <c:v>0.82</c:v>
                </c:pt>
                <c:pt idx="2">
                  <c:v>1.35</c:v>
                </c:pt>
                <c:pt idx="3">
                  <c:v>1.851</c:v>
                </c:pt>
                <c:pt idx="4">
                  <c:v>2.351</c:v>
                </c:pt>
                <c:pt idx="5">
                  <c:v>2.8220000000000001</c:v>
                </c:pt>
                <c:pt idx="6">
                  <c:v>3.302</c:v>
                </c:pt>
                <c:pt idx="7">
                  <c:v>3.7730000000000001</c:v>
                </c:pt>
                <c:pt idx="8">
                  <c:v>4.2530000000000001</c:v>
                </c:pt>
                <c:pt idx="9">
                  <c:v>4.7030000000000003</c:v>
                </c:pt>
                <c:pt idx="10">
                  <c:v>5.1639999999999997</c:v>
                </c:pt>
                <c:pt idx="11">
                  <c:v>5.6139999999999999</c:v>
                </c:pt>
              </c:numCache>
            </c:numRef>
          </c:xVal>
          <c:yVal>
            <c:numRef>
              <c:f>'Fig. 16'!$L$47:$L$58</c:f>
              <c:numCache>
                <c:formatCode>General</c:formatCode>
                <c:ptCount val="12"/>
                <c:pt idx="0">
                  <c:v>0.83635351250000001</c:v>
                </c:pt>
                <c:pt idx="1">
                  <c:v>5.2839999999999996E-3</c:v>
                </c:pt>
                <c:pt idx="2">
                  <c:v>9.2500000000000004E-4</c:v>
                </c:pt>
                <c:pt idx="3">
                  <c:v>1.078E-4</c:v>
                </c:pt>
                <c:pt idx="4" formatCode="0.00E+00">
                  <c:v>1.36E-5</c:v>
                </c:pt>
                <c:pt idx="5" formatCode="0.00E+00">
                  <c:v>1.9229999999999999E-7</c:v>
                </c:pt>
                <c:pt idx="6" formatCode="0.00E+00">
                  <c:v>1.081E-7</c:v>
                </c:pt>
                <c:pt idx="7" formatCode="0.00E+00">
                  <c:v>1.475E-9</c:v>
                </c:pt>
                <c:pt idx="8" formatCode="0.00E+00">
                  <c:v>1.1750000000000001E-10</c:v>
                </c:pt>
                <c:pt idx="9" formatCode="0.00E+00">
                  <c:v>1.107E-11</c:v>
                </c:pt>
                <c:pt idx="10" formatCode="0.00E+00">
                  <c:v>1.1999999999999999E-12</c:v>
                </c:pt>
                <c:pt idx="11" formatCode="0.00E+00">
                  <c:v>1.387E-13</c:v>
                </c:pt>
              </c:numCache>
            </c:numRef>
          </c:y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9DCC-4ACE-B0D2-48ABBC5E5845}"/>
            </c:ext>
          </c:extLst>
        </c:ser>
        <c:ser>
          <c:idx val="13"/>
          <c:order val="3"/>
          <c:tx>
            <c:v>Eq-PBCD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'Fig. 16'!$R$47:$R$62</c:f>
              <c:numCache>
                <c:formatCode>General</c:formatCode>
                <c:ptCount val="16"/>
                <c:pt idx="0">
                  <c:v>1.9999980930000001E-2</c:v>
                </c:pt>
                <c:pt idx="1">
                  <c:v>9.3999862670000003E-2</c:v>
                </c:pt>
                <c:pt idx="2">
                  <c:v>0.14800000190000001</c:v>
                </c:pt>
                <c:pt idx="3">
                  <c:v>0.2059998512</c:v>
                </c:pt>
                <c:pt idx="4">
                  <c:v>0.25199985499999999</c:v>
                </c:pt>
                <c:pt idx="5">
                  <c:v>0.28900003429999999</c:v>
                </c:pt>
                <c:pt idx="6">
                  <c:v>0.32899999619999998</c:v>
                </c:pt>
                <c:pt idx="7">
                  <c:v>0.37999987600000001</c:v>
                </c:pt>
                <c:pt idx="8">
                  <c:v>0.41299986840000003</c:v>
                </c:pt>
                <c:pt idx="9">
                  <c:v>0.46299982070000001</c:v>
                </c:pt>
                <c:pt idx="10">
                  <c:v>0.51199984549999999</c:v>
                </c:pt>
                <c:pt idx="11">
                  <c:v>0.62899994849999996</c:v>
                </c:pt>
                <c:pt idx="12">
                  <c:v>0.67899990079999994</c:v>
                </c:pt>
                <c:pt idx="13">
                  <c:v>0.74899983410000004</c:v>
                </c:pt>
                <c:pt idx="14">
                  <c:v>0.79799985890000003</c:v>
                </c:pt>
                <c:pt idx="15">
                  <c:v>0.86199998860000004</c:v>
                </c:pt>
              </c:numCache>
            </c:numRef>
          </c:xVal>
          <c:yVal>
            <c:numRef>
              <c:f>'Fig. 16'!$Q$47:$Q$62</c:f>
              <c:numCache>
                <c:formatCode>General</c:formatCode>
                <c:ptCount val="16"/>
                <c:pt idx="0">
                  <c:v>0.83635351250000001</c:v>
                </c:pt>
                <c:pt idx="1">
                  <c:v>3.0165503400000002E-2</c:v>
                </c:pt>
                <c:pt idx="2">
                  <c:v>6.6642118719999997E-3</c:v>
                </c:pt>
                <c:pt idx="3">
                  <c:v>1.664947586E-3</c:v>
                </c:pt>
                <c:pt idx="4">
                  <c:v>5.0235719189999995E-4</c:v>
                </c:pt>
                <c:pt idx="5">
                  <c:v>1.124740115E-4</c:v>
                </c:pt>
                <c:pt idx="6" formatCode="0.00E+00">
                  <c:v>2.6150723609999999E-5</c:v>
                </c:pt>
                <c:pt idx="7" formatCode="0.00E+00">
                  <c:v>6.0707990489999998E-6</c:v>
                </c:pt>
                <c:pt idx="8" formatCode="0.00E+00">
                  <c:v>1.074588146E-6</c:v>
                </c:pt>
                <c:pt idx="9" formatCode="0.00E+00">
                  <c:v>1.855503005E-7</c:v>
                </c:pt>
                <c:pt idx="10" formatCode="0.00E+00">
                  <c:v>4.1382871910000003E-8</c:v>
                </c:pt>
                <c:pt idx="11" formatCode="0.00E+00">
                  <c:v>3.8737780759999998E-9</c:v>
                </c:pt>
                <c:pt idx="12" formatCode="0.00E+00">
                  <c:v>3.300338891E-10</c:v>
                </c:pt>
                <c:pt idx="13" formatCode="0.00E+00">
                  <c:v>3.4104497000000002E-11</c:v>
                </c:pt>
                <c:pt idx="14" formatCode="0.00E+00">
                  <c:v>2.4300561559999999E-12</c:v>
                </c:pt>
                <c:pt idx="15" formatCode="0.00E+00">
                  <c:v>3.1097346920000001E-13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DCC-4ACE-B0D2-48ABBC5E5845}"/>
            </c:ext>
          </c:extLst>
        </c:ser>
        <c:ser>
          <c:idx val="4"/>
          <c:order val="7"/>
          <c:tx>
            <c:strRef>
              <c:f>'Fig. 16'!$U$45:$W$45</c:f>
              <c:strCache>
                <c:ptCount val="1"/>
                <c:pt idx="0">
                  <c:v>VC-PBCD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'Fig. 16'!$W$47:$W$56</c:f>
              <c:numCache>
                <c:formatCode>General</c:formatCode>
                <c:ptCount val="10"/>
                <c:pt idx="0">
                  <c:v>5.8000087739999998E-2</c:v>
                </c:pt>
                <c:pt idx="1">
                  <c:v>0.43300008769999998</c:v>
                </c:pt>
                <c:pt idx="2">
                  <c:v>0.81500005720000002</c:v>
                </c:pt>
                <c:pt idx="3">
                  <c:v>1.2220001220000001</c:v>
                </c:pt>
                <c:pt idx="4">
                  <c:v>1.7360000609999999</c:v>
                </c:pt>
                <c:pt idx="5">
                  <c:v>2.2809998990000002</c:v>
                </c:pt>
                <c:pt idx="6">
                  <c:v>3.0039999489999998</c:v>
                </c:pt>
                <c:pt idx="7">
                  <c:v>3.8719999789999999</c:v>
                </c:pt>
                <c:pt idx="8">
                  <c:v>4.7309999469999999</c:v>
                </c:pt>
                <c:pt idx="9">
                  <c:v>5.5309998990000002</c:v>
                </c:pt>
              </c:numCache>
            </c:numRef>
          </c:xVal>
          <c:yVal>
            <c:numRef>
              <c:f>'Fig. 16'!$V$47:$V$56</c:f>
              <c:numCache>
                <c:formatCode>General</c:formatCode>
                <c:ptCount val="10"/>
                <c:pt idx="0">
                  <c:v>0.83635351250000001</c:v>
                </c:pt>
                <c:pt idx="1">
                  <c:v>2.967312226E-2</c:v>
                </c:pt>
                <c:pt idx="2">
                  <c:v>4.6420794099999996E-3</c:v>
                </c:pt>
                <c:pt idx="3">
                  <c:v>4.3363264060000001E-4</c:v>
                </c:pt>
                <c:pt idx="4" formatCode="0.00E+00">
                  <c:v>5.6132339220000001E-5</c:v>
                </c:pt>
                <c:pt idx="5" formatCode="0.00E+00">
                  <c:v>1.3446294519999999E-6</c:v>
                </c:pt>
                <c:pt idx="6" formatCode="0.00E+00">
                  <c:v>1.582708353E-8</c:v>
                </c:pt>
                <c:pt idx="7" formatCode="0.00E+00">
                  <c:v>1.661477622E-10</c:v>
                </c:pt>
                <c:pt idx="8" formatCode="0.00E+00">
                  <c:v>1.7282841819999999E-12</c:v>
                </c:pt>
                <c:pt idx="9" formatCode="0.00E+00">
                  <c:v>1.965094754E-14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DCC-4ACE-B0D2-48ABBC5E5845}"/>
            </c:ext>
          </c:extLst>
        </c:ser>
        <c:ser>
          <c:idx val="2"/>
          <c:order val="8"/>
          <c:tx>
            <c:v>VC-Eq-PBCD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16'!$AB$47:$AB$63</c:f>
              <c:numCache>
                <c:formatCode>General</c:formatCode>
                <c:ptCount val="17"/>
                <c:pt idx="0">
                  <c:v>3.8000106810000003E-2</c:v>
                </c:pt>
                <c:pt idx="1">
                  <c:v>8.300018311E-2</c:v>
                </c:pt>
                <c:pt idx="2">
                  <c:v>0.1160001755</c:v>
                </c:pt>
                <c:pt idx="3">
                  <c:v>0.15000009540000001</c:v>
                </c:pt>
                <c:pt idx="4">
                  <c:v>0.17900013919999999</c:v>
                </c:pt>
                <c:pt idx="5">
                  <c:v>0.21600008009999999</c:v>
                </c:pt>
                <c:pt idx="6">
                  <c:v>0.25400018689999998</c:v>
                </c:pt>
                <c:pt idx="7">
                  <c:v>0.28800010679999999</c:v>
                </c:pt>
                <c:pt idx="8">
                  <c:v>0.32599997520000001</c:v>
                </c:pt>
                <c:pt idx="9">
                  <c:v>0.36199998859999999</c:v>
                </c:pt>
                <c:pt idx="10">
                  <c:v>0.40000009539999998</c:v>
                </c:pt>
                <c:pt idx="11">
                  <c:v>0.43400001529999999</c:v>
                </c:pt>
                <c:pt idx="12">
                  <c:v>0.47000002860000001</c:v>
                </c:pt>
                <c:pt idx="13">
                  <c:v>0.51600003240000003</c:v>
                </c:pt>
                <c:pt idx="14">
                  <c:v>0.55900001529999999</c:v>
                </c:pt>
                <c:pt idx="15">
                  <c:v>0.60600018499999997</c:v>
                </c:pt>
                <c:pt idx="16">
                  <c:v>0.65100002290000003</c:v>
                </c:pt>
              </c:numCache>
            </c:numRef>
          </c:xVal>
          <c:yVal>
            <c:numRef>
              <c:f>'Fig. 16'!$AA$47:$AA$63</c:f>
              <c:numCache>
                <c:formatCode>General</c:formatCode>
                <c:ptCount val="17"/>
                <c:pt idx="0">
                  <c:v>0.83635351250000001</c:v>
                </c:pt>
                <c:pt idx="1">
                  <c:v>2.9557202500000001E-2</c:v>
                </c:pt>
                <c:pt idx="2">
                  <c:v>6.1907508040000003E-3</c:v>
                </c:pt>
                <c:pt idx="3">
                  <c:v>1.628431082E-3</c:v>
                </c:pt>
                <c:pt idx="4">
                  <c:v>5.3684999780000001E-4</c:v>
                </c:pt>
                <c:pt idx="5">
                  <c:v>1.2431101370000001E-4</c:v>
                </c:pt>
                <c:pt idx="6" formatCode="0.00E+00">
                  <c:v>3.1800673849999997E-5</c:v>
                </c:pt>
                <c:pt idx="7" formatCode="0.00E+00">
                  <c:v>3.3888457409999999E-6</c:v>
                </c:pt>
                <c:pt idx="8" formatCode="0.00E+00">
                  <c:v>6.278430336E-7</c:v>
                </c:pt>
                <c:pt idx="9" formatCode="0.00E+00">
                  <c:v>1.1729659960000001E-7</c:v>
                </c:pt>
                <c:pt idx="10" formatCode="0.00E+00">
                  <c:v>2.9384545489999999E-8</c:v>
                </c:pt>
                <c:pt idx="11" formatCode="0.00E+00">
                  <c:v>5.5751571039999997E-9</c:v>
                </c:pt>
                <c:pt idx="12" formatCode="0.00E+00">
                  <c:v>7.9975324599999998E-10</c:v>
                </c:pt>
                <c:pt idx="13" formatCode="0.00E+00">
                  <c:v>1.11217994E-10</c:v>
                </c:pt>
                <c:pt idx="14" formatCode="0.00E+00">
                  <c:v>2.0675901199999999E-11</c:v>
                </c:pt>
                <c:pt idx="15" formatCode="0.00E+00">
                  <c:v>3.1608510840000001E-12</c:v>
                </c:pt>
                <c:pt idx="16" formatCode="0.00E+00">
                  <c:v>6.3057203769999997E-13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DCC-4ACE-B0D2-48ABBC5E5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>
          <c:ext xmlns:c15="http://schemas.microsoft.com/office/drawing/2012/chart" uri="{02D57815-91ED-43cb-92C2-25804820EDAC}">
            <c15:filteredScatterSeries>
              <c15:ser>
                <c:idx val="10"/>
                <c:order val="4"/>
                <c:tx>
                  <c:v>iPBCD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[1]ML_CS!$AR$52:$AR$70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0.13520665840000001</c:v>
                      </c:pt>
                      <c:pt idx="1">
                        <c:v>0.40950997169999998</c:v>
                      </c:pt>
                      <c:pt idx="2">
                        <c:v>0.58295514429999995</c:v>
                      </c:pt>
                      <c:pt idx="3">
                        <c:v>0.75319034230000004</c:v>
                      </c:pt>
                      <c:pt idx="4">
                        <c:v>0.85505094380000002</c:v>
                      </c:pt>
                      <c:pt idx="5">
                        <c:v>0.95380730930000002</c:v>
                      </c:pt>
                      <c:pt idx="6">
                        <c:v>1.0542159419999999</c:v>
                      </c:pt>
                      <c:pt idx="7">
                        <c:v>1.193496715</c:v>
                      </c:pt>
                      <c:pt idx="8">
                        <c:v>1.3321904579999999</c:v>
                      </c:pt>
                      <c:pt idx="9">
                        <c:v>1.4579745529999999</c:v>
                      </c:pt>
                      <c:pt idx="10">
                        <c:v>1.643198892</c:v>
                      </c:pt>
                      <c:pt idx="11">
                        <c:v>2.008492924</c:v>
                      </c:pt>
                      <c:pt idx="12">
                        <c:v>2.4151788320000001</c:v>
                      </c:pt>
                      <c:pt idx="13">
                        <c:v>2.6292494460000002</c:v>
                      </c:pt>
                      <c:pt idx="14">
                        <c:v>2.7732697239999999</c:v>
                      </c:pt>
                      <c:pt idx="15">
                        <c:v>2.9221890570000002</c:v>
                      </c:pt>
                      <c:pt idx="16">
                        <c:v>3.2110329339999999</c:v>
                      </c:pt>
                      <c:pt idx="17">
                        <c:v>3.369093619</c:v>
                      </c:pt>
                      <c:pt idx="18">
                        <c:v>3.6408842950000002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[1]ML_CS!$AQ$52:$AQ$70</c15:sqref>
                        </c15:formulaRef>
                      </c:ext>
                    </c:extLst>
                    <c:numCache>
                      <c:formatCode>General</c:formatCode>
                      <c:ptCount val="19"/>
                      <c:pt idx="0">
                        <c:v>0.83635351250000001</c:v>
                      </c:pt>
                      <c:pt idx="1">
                        <c:v>3.2947972290000002E-2</c:v>
                      </c:pt>
                      <c:pt idx="2">
                        <c:v>6.6779821460000001E-3</c:v>
                      </c:pt>
                      <c:pt idx="3">
                        <c:v>1.9148317640000001E-3</c:v>
                      </c:pt>
                      <c:pt idx="4">
                        <c:v>4.1258393670000001E-4</c:v>
                      </c:pt>
                      <c:pt idx="5">
                        <c:v>1.467900713E-4</c:v>
                      </c:pt>
                      <c:pt idx="6">
                        <c:v>6.3358110080000005E-5</c:v>
                      </c:pt>
                      <c:pt idx="7">
                        <c:v>2.1334334609999999E-5</c:v>
                      </c:pt>
                      <c:pt idx="8">
                        <c:v>2.8113341229999999E-6</c:v>
                      </c:pt>
                      <c:pt idx="9">
                        <c:v>2.8396337910000001E-7</c:v>
                      </c:pt>
                      <c:pt idx="10">
                        <c:v>5.053455443E-8</c:v>
                      </c:pt>
                      <c:pt idx="11">
                        <c:v>6.1199935120000001E-9</c:v>
                      </c:pt>
                      <c:pt idx="12">
                        <c:v>1.5139055560000001E-9</c:v>
                      </c:pt>
                      <c:pt idx="13">
                        <c:v>8.4495177519999998E-10</c:v>
                      </c:pt>
                      <c:pt idx="14">
                        <c:v>3.332275567E-10</c:v>
                      </c:pt>
                      <c:pt idx="15">
                        <c:v>1.002293804E-10</c:v>
                      </c:pt>
                      <c:pt idx="16">
                        <c:v>2.030431379E-11</c:v>
                      </c:pt>
                      <c:pt idx="17">
                        <c:v>7.5331962889999993E-12</c:v>
                      </c:pt>
                      <c:pt idx="18">
                        <c:v>8.2622797490000005E-13</c:v>
                      </c:pt>
                    </c:numCache>
                  </c:numRef>
                </c:yVal>
                <c:smooth val="0"/>
                <c:extLst>
                  <c:ext xmlns:c16="http://schemas.microsoft.com/office/drawing/2014/chart" uri="{C3380CC4-5D6E-409C-BE32-E72D297353CC}">
                    <c16:uniqueId val="{00000007-9DCC-4ACE-B0D2-48ABBC5E5845}"/>
                  </c:ext>
                </c:extLst>
              </c15:ser>
            </c15:filteredScatterSeries>
            <c15:filteredScatterSeries>
              <c15:ser>
                <c:idx val="11"/>
                <c:order val="5"/>
                <c:tx>
                  <c:v>ML-PBCD</c:v>
                </c:tx>
                <c:spPr>
                  <a:ln w="19050" cap="rnd">
                    <a:solidFill>
                      <a:srgbClr val="00B050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[1]ML_CS!$AZ$52:$AZ$71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0.16419418529999999</c:v>
                      </c:pt>
                      <c:pt idx="1">
                        <c:v>0.24399999999999999</c:v>
                      </c:pt>
                      <c:pt idx="2">
                        <c:v>0.28999999999999998</c:v>
                      </c:pt>
                      <c:pt idx="3">
                        <c:v>0.32800000000000001</c:v>
                      </c:pt>
                      <c:pt idx="4">
                        <c:v>0.35899999999999999</c:v>
                      </c:pt>
                      <c:pt idx="5">
                        <c:v>0.39200000000000002</c:v>
                      </c:pt>
                      <c:pt idx="6">
                        <c:v>0.42599999999999999</c:v>
                      </c:pt>
                      <c:pt idx="7">
                        <c:v>0.46400000000000002</c:v>
                      </c:pt>
                      <c:pt idx="8">
                        <c:v>0.505</c:v>
                      </c:pt>
                      <c:pt idx="9">
                        <c:v>0.54</c:v>
                      </c:pt>
                      <c:pt idx="10">
                        <c:v>0.57499999999999996</c:v>
                      </c:pt>
                      <c:pt idx="11">
                        <c:v>0.64400000000000002</c:v>
                      </c:pt>
                      <c:pt idx="12">
                        <c:v>0.69399999999999995</c:v>
                      </c:pt>
                      <c:pt idx="13">
                        <c:v>0.73599999999999999</c:v>
                      </c:pt>
                      <c:pt idx="14">
                        <c:v>0.78200000000000003</c:v>
                      </c:pt>
                      <c:pt idx="15">
                        <c:v>0.83</c:v>
                      </c:pt>
                      <c:pt idx="16">
                        <c:v>1.298</c:v>
                      </c:pt>
                      <c:pt idx="17">
                        <c:v>1.419</c:v>
                      </c:pt>
                      <c:pt idx="18">
                        <c:v>1.486</c:v>
                      </c:pt>
                      <c:pt idx="19">
                        <c:v>1.526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[1]ML_CS!$AY$52:$AY$71</c15:sqref>
                        </c15:formulaRef>
                      </c:ext>
                    </c:extLst>
                    <c:numCache>
                      <c:formatCode>General</c:formatCode>
                      <c:ptCount val="20"/>
                      <c:pt idx="0">
                        <c:v>0.83635351250000001</c:v>
                      </c:pt>
                      <c:pt idx="1">
                        <c:v>3.3983899999999997E-2</c:v>
                      </c:pt>
                      <c:pt idx="2">
                        <c:v>7.6733000000000001E-3</c:v>
                      </c:pt>
                      <c:pt idx="3">
                        <c:v>2.1949999999999999E-3</c:v>
                      </c:pt>
                      <c:pt idx="4">
                        <c:v>5.9688299999999998E-4</c:v>
                      </c:pt>
                      <c:pt idx="5">
                        <c:v>1.7793400000000001E-4</c:v>
                      </c:pt>
                      <c:pt idx="6">
                        <c:v>4.4623299999999997E-5</c:v>
                      </c:pt>
                      <c:pt idx="7">
                        <c:v>1.31346E-5</c:v>
                      </c:pt>
                      <c:pt idx="8">
                        <c:v>1.12503E-5</c:v>
                      </c:pt>
                      <c:pt idx="9">
                        <c:v>8.4141900000000008E-6</c:v>
                      </c:pt>
                      <c:pt idx="10">
                        <c:v>8.484E-7</c:v>
                      </c:pt>
                      <c:pt idx="11">
                        <c:v>8.27574E-8</c:v>
                      </c:pt>
                      <c:pt idx="12">
                        <c:v>4.0620299999999999E-8</c:v>
                      </c:pt>
                      <c:pt idx="13">
                        <c:v>9.6160099999999998E-9</c:v>
                      </c:pt>
                      <c:pt idx="14">
                        <c:v>2.7589600000000002E-9</c:v>
                      </c:pt>
                      <c:pt idx="15">
                        <c:v>8.5250400000000004E-10</c:v>
                      </c:pt>
                      <c:pt idx="16">
                        <c:v>9.5406700000000005E-11</c:v>
                      </c:pt>
                      <c:pt idx="17">
                        <c:v>7.8906099999999996E-12</c:v>
                      </c:pt>
                      <c:pt idx="18">
                        <c:v>5.3199799999999997E-12</c:v>
                      </c:pt>
                      <c:pt idx="19">
                        <c:v>8.0393799999999996E-13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9DCC-4ACE-B0D2-48ABBC5E5845}"/>
                  </c:ext>
                </c:extLst>
              </c15:ser>
            </c15:filteredScatterSeries>
            <c15:filteredScatterSeries>
              <c15:ser>
                <c:idx val="1"/>
                <c:order val="6"/>
                <c:tx>
                  <c:v>EC-PBCD</c:v>
                </c:tx>
                <c:spPr>
                  <a:ln w="1905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[1]ML_CS!$AQ$3:$AQ$16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6.200003624E-2</c:v>
                      </c:pt>
                      <c:pt idx="1">
                        <c:v>0.1619999409</c:v>
                      </c:pt>
                      <c:pt idx="2">
                        <c:v>0.23499989509999999</c:v>
                      </c:pt>
                      <c:pt idx="3">
                        <c:v>0.3039999008</c:v>
                      </c:pt>
                      <c:pt idx="4">
                        <c:v>0.38699984549999999</c:v>
                      </c:pt>
                      <c:pt idx="5">
                        <c:v>0.4370000362</c:v>
                      </c:pt>
                      <c:pt idx="6">
                        <c:v>0.51900005339999999</c:v>
                      </c:pt>
                      <c:pt idx="7">
                        <c:v>0.58699989320000001</c:v>
                      </c:pt>
                      <c:pt idx="8">
                        <c:v>0.67100000380000002</c:v>
                      </c:pt>
                      <c:pt idx="9">
                        <c:v>0.75399994849999996</c:v>
                      </c:pt>
                      <c:pt idx="10">
                        <c:v>0.83699989320000001</c:v>
                      </c:pt>
                      <c:pt idx="11">
                        <c:v>0.90400004389999999</c:v>
                      </c:pt>
                      <c:pt idx="12">
                        <c:v>0.98799991610000004</c:v>
                      </c:pt>
                      <c:pt idx="13">
                        <c:v>1.070999861</c:v>
                      </c:pt>
                    </c:numCache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[1]ML_CS!$AP$3:$AP$16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0.83635351250000001</c:v>
                      </c:pt>
                      <c:pt idx="1">
                        <c:v>2.9056129279999999E-2</c:v>
                      </c:pt>
                      <c:pt idx="2">
                        <c:v>5.9446950949999999E-3</c:v>
                      </c:pt>
                      <c:pt idx="3">
                        <c:v>1.5679080940000001E-3</c:v>
                      </c:pt>
                      <c:pt idx="4">
                        <c:v>3.2990118519999999E-4</c:v>
                      </c:pt>
                      <c:pt idx="5">
                        <c:v>7.0951458269999997E-5</c:v>
                      </c:pt>
                      <c:pt idx="6">
                        <c:v>1.320131659E-5</c:v>
                      </c:pt>
                      <c:pt idx="7">
                        <c:v>1.807701098E-6</c:v>
                      </c:pt>
                      <c:pt idx="8">
                        <c:v>1.1930842550000001E-7</c:v>
                      </c:pt>
                      <c:pt idx="9">
                        <c:v>1.207606937E-8</c:v>
                      </c:pt>
                      <c:pt idx="10">
                        <c:v>9.1608920449999999E-10</c:v>
                      </c:pt>
                      <c:pt idx="11">
                        <c:v>7.5664585710000001E-11</c:v>
                      </c:pt>
                      <c:pt idx="12">
                        <c:v>5.9471316759999996E-12</c:v>
                      </c:pt>
                      <c:pt idx="13">
                        <c:v>4.9282800059999997E-13</c:v>
                      </c:pt>
                    </c:numCache>
                  </c:numRef>
                </c:y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9DCC-4ACE-B0D2-48ABBC5E5845}"/>
                  </c:ext>
                </c:extLst>
              </c15:ser>
            </c15:filteredScatterSeries>
          </c:ext>
        </c:extLst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1.1842675934296425E-2"/>
              <c:y val="0.38327758802669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8827296354106957"/>
          <c:y val="0.10194991603000339"/>
          <c:w val="0.17120872893893727"/>
          <c:h val="0.27117822281544063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40" b="0" i="0" u="none" strike="noStrike" kern="1200" spc="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altLang="zh-CN"/>
              <a:t>Phi-2025</a:t>
            </a:r>
            <a:endParaRPr lang="en-US"/>
          </a:p>
        </c:rich>
      </c:tx>
      <c:layout>
        <c:manualLayout>
          <c:xMode val="edge"/>
          <c:yMode val="edge"/>
          <c:x val="0.47673521346580588"/>
          <c:y val="4.266193088085174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40" b="0" i="0" u="none" strike="noStrike" kern="1200" spc="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749942599665107"/>
          <c:y val="8.4868301146034497E-2"/>
          <c:w val="0.81164842199603093"/>
          <c:h val="0.78208821434012443"/>
        </c:manualLayout>
      </c:layout>
      <c:scatterChart>
        <c:scatterStyle val="lineMarker"/>
        <c:varyColors val="0"/>
        <c:ser>
          <c:idx val="6"/>
          <c:order val="0"/>
          <c:tx>
            <c:v>iGP</c:v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xVal>
            <c:numRef>
              <c:f>'Fig. 16'!$C$89:$C$120</c:f>
              <c:numCache>
                <c:formatCode>General</c:formatCode>
                <c:ptCount val="32"/>
                <c:pt idx="0">
                  <c:v>8.1859999999999999</c:v>
                </c:pt>
                <c:pt idx="1">
                  <c:v>42.006</c:v>
                </c:pt>
                <c:pt idx="2">
                  <c:v>87.543999999999997</c:v>
                </c:pt>
                <c:pt idx="3">
                  <c:v>133.81399999999999</c:v>
                </c:pt>
                <c:pt idx="4">
                  <c:v>161.703</c:v>
                </c:pt>
                <c:pt idx="5">
                  <c:v>190.399</c:v>
                </c:pt>
                <c:pt idx="6">
                  <c:v>220.31100000000001</c:v>
                </c:pt>
                <c:pt idx="7">
                  <c:v>251.239</c:v>
                </c:pt>
                <c:pt idx="8">
                  <c:v>281.60599999999999</c:v>
                </c:pt>
                <c:pt idx="9">
                  <c:v>312.62200000000001</c:v>
                </c:pt>
                <c:pt idx="10">
                  <c:v>344.36200000000002</c:v>
                </c:pt>
                <c:pt idx="11">
                  <c:v>377.036</c:v>
                </c:pt>
                <c:pt idx="12">
                  <c:v>410.25299999999999</c:v>
                </c:pt>
                <c:pt idx="13">
                  <c:v>444.57600000000002</c:v>
                </c:pt>
                <c:pt idx="14">
                  <c:v>490.53399999999999</c:v>
                </c:pt>
                <c:pt idx="15">
                  <c:v>550.00900000000001</c:v>
                </c:pt>
                <c:pt idx="16">
                  <c:v>624.31899999999996</c:v>
                </c:pt>
                <c:pt idx="17">
                  <c:v>703.55499999999995</c:v>
                </c:pt>
                <c:pt idx="18">
                  <c:v>786.12900000000002</c:v>
                </c:pt>
                <c:pt idx="19">
                  <c:v>858.46500000000003</c:v>
                </c:pt>
                <c:pt idx="20">
                  <c:v>931.83600000000001</c:v>
                </c:pt>
                <c:pt idx="21">
                  <c:v>1076.7809999999999</c:v>
                </c:pt>
                <c:pt idx="22">
                  <c:v>1262.723</c:v>
                </c:pt>
                <c:pt idx="23">
                  <c:v>1461.7750000000001</c:v>
                </c:pt>
                <c:pt idx="24">
                  <c:v>1677.2529999999999</c:v>
                </c:pt>
                <c:pt idx="25">
                  <c:v>1928.9259999999999</c:v>
                </c:pt>
                <c:pt idx="26">
                  <c:v>2188.471</c:v>
                </c:pt>
                <c:pt idx="27">
                  <c:v>2536.8719999999998</c:v>
                </c:pt>
                <c:pt idx="28">
                  <c:v>2725.3719999999998</c:v>
                </c:pt>
                <c:pt idx="29">
                  <c:v>2906.9830000000002</c:v>
                </c:pt>
                <c:pt idx="30">
                  <c:v>3093.5160000000001</c:v>
                </c:pt>
                <c:pt idx="31">
                  <c:v>3283.5880000000002</c:v>
                </c:pt>
              </c:numCache>
            </c:numRef>
          </c:xVal>
          <c:yVal>
            <c:numRef>
              <c:f>'Fig. 16'!$B$89:$B$120</c:f>
              <c:numCache>
                <c:formatCode>General</c:formatCode>
                <c:ptCount val="32"/>
                <c:pt idx="0">
                  <c:v>0.99873085340000001</c:v>
                </c:pt>
                <c:pt idx="1">
                  <c:v>0.34389439760000001</c:v>
                </c:pt>
                <c:pt idx="2">
                  <c:v>0.1055231827</c:v>
                </c:pt>
                <c:pt idx="3">
                  <c:v>4.3205295089999998E-2</c:v>
                </c:pt>
                <c:pt idx="4">
                  <c:v>1.9873195560000001E-2</c:v>
                </c:pt>
                <c:pt idx="5">
                  <c:v>1.053700674E-2</c:v>
                </c:pt>
                <c:pt idx="6">
                  <c:v>5.9704664210000003E-3</c:v>
                </c:pt>
                <c:pt idx="7">
                  <c:v>3.6309847800000002E-3</c:v>
                </c:pt>
                <c:pt idx="8">
                  <c:v>2.2821704140000001E-3</c:v>
                </c:pt>
                <c:pt idx="9">
                  <c:v>1.4295145639999999E-3</c:v>
                </c:pt>
                <c:pt idx="10">
                  <c:v>8.9000560970000004E-4</c:v>
                </c:pt>
                <c:pt idx="11">
                  <c:v>5.6485262519999997E-4</c:v>
                </c:pt>
                <c:pt idx="12">
                  <c:v>3.8771238509999997E-4</c:v>
                </c:pt>
                <c:pt idx="13">
                  <c:v>2.742263848E-4</c:v>
                </c:pt>
                <c:pt idx="14">
                  <c:v>1.492518251E-4</c:v>
                </c:pt>
                <c:pt idx="15" formatCode="0.00E+00">
                  <c:v>7.2463237630000001E-5</c:v>
                </c:pt>
                <c:pt idx="16" formatCode="0.00E+00">
                  <c:v>3.3128569630000001E-5</c:v>
                </c:pt>
                <c:pt idx="17" formatCode="0.00E+00">
                  <c:v>1.720554921E-5</c:v>
                </c:pt>
                <c:pt idx="18" formatCode="0.00E+00">
                  <c:v>9.1233939399999994E-6</c:v>
                </c:pt>
                <c:pt idx="19" formatCode="0.00E+00">
                  <c:v>6.1837615860000002E-6</c:v>
                </c:pt>
                <c:pt idx="20" formatCode="0.00E+00">
                  <c:v>3.6669492069999999E-6</c:v>
                </c:pt>
                <c:pt idx="21" formatCode="0.00E+00">
                  <c:v>1.217321807E-6</c:v>
                </c:pt>
                <c:pt idx="22" formatCode="0.00E+00">
                  <c:v>4.2837714120000002E-7</c:v>
                </c:pt>
                <c:pt idx="23" formatCode="0.00E+00">
                  <c:v>1.4701859510000001E-7</c:v>
                </c:pt>
                <c:pt idx="24" formatCode="0.00E+00">
                  <c:v>5.3065579040000001E-8</c:v>
                </c:pt>
                <c:pt idx="25" formatCode="0.00E+00">
                  <c:v>1.8429128E-8</c:v>
                </c:pt>
                <c:pt idx="26" formatCode="0.00E+00">
                  <c:v>5.5411449870000002E-9</c:v>
                </c:pt>
                <c:pt idx="27" formatCode="0.00E+00">
                  <c:v>1.966597551E-9</c:v>
                </c:pt>
                <c:pt idx="28" formatCode="0.00E+00">
                  <c:v>4.7528081470000005E-10</c:v>
                </c:pt>
                <c:pt idx="29" formatCode="0.00E+00">
                  <c:v>1.1828171780000001E-10</c:v>
                </c:pt>
                <c:pt idx="30" formatCode="0.00E+00">
                  <c:v>3.2921221299999998E-11</c:v>
                </c:pt>
                <c:pt idx="31" formatCode="0.00E+00">
                  <c:v>1.3055556640000001E-11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C5-4D2F-B1B7-93258B0AA2E4}"/>
            </c:ext>
          </c:extLst>
        </c:ser>
        <c:ser>
          <c:idx val="5"/>
          <c:order val="1"/>
          <c:tx>
            <c:v>iGreedy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'Fig. 16'!$H$89:$H$111</c:f>
              <c:numCache>
                <c:formatCode>General</c:formatCode>
                <c:ptCount val="23"/>
                <c:pt idx="0">
                  <c:v>4.3010000000000002</c:v>
                </c:pt>
                <c:pt idx="1">
                  <c:v>14.471</c:v>
                </c:pt>
                <c:pt idx="2">
                  <c:v>26.037001</c:v>
                </c:pt>
                <c:pt idx="3">
                  <c:v>36.756999999999998</c:v>
                </c:pt>
                <c:pt idx="4">
                  <c:v>47.965000000000003</c:v>
                </c:pt>
                <c:pt idx="5">
                  <c:v>69.406998000000002</c:v>
                </c:pt>
                <c:pt idx="6">
                  <c:v>94.387000999999998</c:v>
                </c:pt>
                <c:pt idx="7">
                  <c:v>120.66799899999999</c:v>
                </c:pt>
                <c:pt idx="8">
                  <c:v>151.837997</c:v>
                </c:pt>
                <c:pt idx="9">
                  <c:v>196.591995</c:v>
                </c:pt>
                <c:pt idx="10">
                  <c:v>289.80499300000002</c:v>
                </c:pt>
                <c:pt idx="11">
                  <c:v>398.57900999999998</c:v>
                </c:pt>
                <c:pt idx="12">
                  <c:v>440.12899800000002</c:v>
                </c:pt>
                <c:pt idx="13">
                  <c:v>498.756012</c:v>
                </c:pt>
                <c:pt idx="14">
                  <c:v>625.31298800000002</c:v>
                </c:pt>
                <c:pt idx="15">
                  <c:v>885.81500200000005</c:v>
                </c:pt>
                <c:pt idx="16">
                  <c:v>1186.6099850000001</c:v>
                </c:pt>
                <c:pt idx="17">
                  <c:v>1601.655029</c:v>
                </c:pt>
                <c:pt idx="18">
                  <c:v>1931.5379640000001</c:v>
                </c:pt>
                <c:pt idx="19">
                  <c:v>2095.201904</c:v>
                </c:pt>
                <c:pt idx="20">
                  <c:v>2313.5639649999998</c:v>
                </c:pt>
                <c:pt idx="21">
                  <c:v>2505.7871089999999</c:v>
                </c:pt>
                <c:pt idx="22">
                  <c:v>2742.6840820000002</c:v>
                </c:pt>
              </c:numCache>
            </c:numRef>
          </c:xVal>
          <c:yVal>
            <c:numRef>
              <c:f>'Fig. 16'!$G$89:$G$111</c:f>
              <c:numCache>
                <c:formatCode>0.00E+00</c:formatCode>
                <c:ptCount val="23"/>
                <c:pt idx="0" formatCode="General">
                  <c:v>0.1</c:v>
                </c:pt>
                <c:pt idx="1">
                  <c:v>6.7753999999999995E-2</c:v>
                </c:pt>
                <c:pt idx="2">
                  <c:v>1.7292999999999999E-2</c:v>
                </c:pt>
                <c:pt idx="3">
                  <c:v>6.5380000000000004E-3</c:v>
                </c:pt>
                <c:pt idx="4">
                  <c:v>2.7079999999999999E-3</c:v>
                </c:pt>
                <c:pt idx="5">
                  <c:v>1.23E-3</c:v>
                </c:pt>
                <c:pt idx="6">
                  <c:v>6.4800000000000003E-4</c:v>
                </c:pt>
                <c:pt idx="7">
                  <c:v>3.0499999999999999E-4</c:v>
                </c:pt>
                <c:pt idx="8">
                  <c:v>1.6899999999999999E-4</c:v>
                </c:pt>
                <c:pt idx="9">
                  <c:v>9.3999999999999994E-5</c:v>
                </c:pt>
                <c:pt idx="10">
                  <c:v>5.1999999999999997E-5</c:v>
                </c:pt>
                <c:pt idx="11">
                  <c:v>2.5999999999999998E-5</c:v>
                </c:pt>
                <c:pt idx="12">
                  <c:v>1.4E-5</c:v>
                </c:pt>
                <c:pt idx="13">
                  <c:v>6.0000000000000002E-6</c:v>
                </c:pt>
                <c:pt idx="14">
                  <c:v>3.0000000000000001E-6</c:v>
                </c:pt>
                <c:pt idx="15">
                  <c:v>1.9999999999999999E-6</c:v>
                </c:pt>
                <c:pt idx="16">
                  <c:v>1.1999999999999999E-6</c:v>
                </c:pt>
                <c:pt idx="17">
                  <c:v>5.2E-7</c:v>
                </c:pt>
                <c:pt idx="18">
                  <c:v>7.3327040000000005E-8</c:v>
                </c:pt>
                <c:pt idx="19">
                  <c:v>1.081781E-8</c:v>
                </c:pt>
                <c:pt idx="20">
                  <c:v>4.0891890000000001E-9</c:v>
                </c:pt>
                <c:pt idx="21">
                  <c:v>3.062279E-9</c:v>
                </c:pt>
                <c:pt idx="22">
                  <c:v>2.848649E-11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1C5-4D2F-B1B7-93258B0AA2E4}"/>
            </c:ext>
          </c:extLst>
        </c:ser>
        <c:ser>
          <c:idx val="0"/>
          <c:order val="2"/>
          <c:tx>
            <c:v>iTAPAS</c:v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'Fig. 16'!$M$89:$M$118</c:f>
              <c:numCache>
                <c:formatCode>General</c:formatCode>
                <c:ptCount val="30"/>
                <c:pt idx="0">
                  <c:v>28.12</c:v>
                </c:pt>
                <c:pt idx="1">
                  <c:v>136.00899999999999</c:v>
                </c:pt>
                <c:pt idx="2">
                  <c:v>167.065</c:v>
                </c:pt>
                <c:pt idx="3">
                  <c:v>187.62899999999999</c:v>
                </c:pt>
                <c:pt idx="4">
                  <c:v>204.30600000000001</c:v>
                </c:pt>
                <c:pt idx="5">
                  <c:v>245.06800000000001</c:v>
                </c:pt>
                <c:pt idx="6">
                  <c:v>301.303</c:v>
                </c:pt>
                <c:pt idx="7">
                  <c:v>354.50400000000002</c:v>
                </c:pt>
                <c:pt idx="8">
                  <c:v>407.36</c:v>
                </c:pt>
                <c:pt idx="9">
                  <c:v>452.995</c:v>
                </c:pt>
                <c:pt idx="10">
                  <c:v>494.88200000000001</c:v>
                </c:pt>
                <c:pt idx="11">
                  <c:v>536.96600000000001</c:v>
                </c:pt>
                <c:pt idx="12">
                  <c:v>578.89499999999998</c:v>
                </c:pt>
                <c:pt idx="13">
                  <c:v>623.41999999999996</c:v>
                </c:pt>
                <c:pt idx="14">
                  <c:v>660.96799999999996</c:v>
                </c:pt>
                <c:pt idx="15">
                  <c:v>707.553</c:v>
                </c:pt>
                <c:pt idx="16">
                  <c:v>750.10799999999995</c:v>
                </c:pt>
                <c:pt idx="17">
                  <c:v>793.41200000000003</c:v>
                </c:pt>
                <c:pt idx="18">
                  <c:v>806.25199999999995</c:v>
                </c:pt>
                <c:pt idx="19">
                  <c:v>819.15899999999999</c:v>
                </c:pt>
                <c:pt idx="20">
                  <c:v>832.11900000000003</c:v>
                </c:pt>
                <c:pt idx="21">
                  <c:v>845.04600000000005</c:v>
                </c:pt>
                <c:pt idx="22">
                  <c:v>858.01099999999997</c:v>
                </c:pt>
                <c:pt idx="23">
                  <c:v>871.12900000000002</c:v>
                </c:pt>
                <c:pt idx="24">
                  <c:v>884.44399999999996</c:v>
                </c:pt>
                <c:pt idx="25">
                  <c:v>897.89200000000005</c:v>
                </c:pt>
                <c:pt idx="26">
                  <c:v>911.33299999999997</c:v>
                </c:pt>
                <c:pt idx="27">
                  <c:v>924.66</c:v>
                </c:pt>
                <c:pt idx="28">
                  <c:v>938.13400000000001</c:v>
                </c:pt>
                <c:pt idx="29">
                  <c:v>954.24199999999996</c:v>
                </c:pt>
              </c:numCache>
            </c:numRef>
          </c:xVal>
          <c:yVal>
            <c:numRef>
              <c:f>'Fig. 16'!$L$89:$L$118</c:f>
              <c:numCache>
                <c:formatCode>General</c:formatCode>
                <c:ptCount val="30"/>
                <c:pt idx="0">
                  <c:v>0.3</c:v>
                </c:pt>
                <c:pt idx="1">
                  <c:v>4.4400000000000002E-2</c:v>
                </c:pt>
                <c:pt idx="2">
                  <c:v>1.0999999999999999E-2</c:v>
                </c:pt>
                <c:pt idx="3">
                  <c:v>3.0999999999999999E-3</c:v>
                </c:pt>
                <c:pt idx="4">
                  <c:v>1E-3</c:v>
                </c:pt>
                <c:pt idx="5">
                  <c:v>2.9999999999999997E-4</c:v>
                </c:pt>
                <c:pt idx="6">
                  <c:v>1E-4</c:v>
                </c:pt>
                <c:pt idx="7">
                  <c:v>1E-4</c:v>
                </c:pt>
                <c:pt idx="8">
                  <c:v>1.0000000000000001E-5</c:v>
                </c:pt>
                <c:pt idx="9" formatCode="0.00E+00">
                  <c:v>9.2446999999999998E-6</c:v>
                </c:pt>
                <c:pt idx="10" formatCode="0.00E+00">
                  <c:v>4.5391000000000003E-6</c:v>
                </c:pt>
                <c:pt idx="11" formatCode="0.00E+00">
                  <c:v>3.4265000000000001E-6</c:v>
                </c:pt>
                <c:pt idx="12" formatCode="0.00E+00">
                  <c:v>8.9877999999999995E-7</c:v>
                </c:pt>
                <c:pt idx="13" formatCode="0.00E+00">
                  <c:v>7.7094000000000005E-7</c:v>
                </c:pt>
                <c:pt idx="14" formatCode="0.00E+00">
                  <c:v>4.0334000000000001E-7</c:v>
                </c:pt>
                <c:pt idx="15" formatCode="0.00E+00">
                  <c:v>1.2830999999999999E-7</c:v>
                </c:pt>
                <c:pt idx="16" formatCode="0.00E+00">
                  <c:v>2.5764999999999998E-7</c:v>
                </c:pt>
                <c:pt idx="17" formatCode="0.00E+00">
                  <c:v>1.5333000000000001E-7</c:v>
                </c:pt>
                <c:pt idx="18" formatCode="0.00E+00">
                  <c:v>1.4497999999999999E-7</c:v>
                </c:pt>
                <c:pt idx="19" formatCode="0.00E+00">
                  <c:v>1.2130999999999999E-7</c:v>
                </c:pt>
                <c:pt idx="20" formatCode="0.00E+00">
                  <c:v>1.205E-7</c:v>
                </c:pt>
                <c:pt idx="21" formatCode="0.00E+00">
                  <c:v>1.9064000000000001E-8</c:v>
                </c:pt>
                <c:pt idx="22" formatCode="0.00E+00">
                  <c:v>6.5480000000000001E-9</c:v>
                </c:pt>
                <c:pt idx="23" formatCode="0.00E+00">
                  <c:v>2.2227999999999998E-9</c:v>
                </c:pt>
                <c:pt idx="24" formatCode="0.00E+00">
                  <c:v>1.0538E-9</c:v>
                </c:pt>
                <c:pt idx="25" formatCode="0.00E+00">
                  <c:v>6.9622E-10</c:v>
                </c:pt>
                <c:pt idx="26" formatCode="0.00E+00">
                  <c:v>4.8957999999999998E-10</c:v>
                </c:pt>
                <c:pt idx="27" formatCode="0.00E+00">
                  <c:v>4.6463E-11</c:v>
                </c:pt>
                <c:pt idx="28" formatCode="0.00E+00">
                  <c:v>2.7154999999999999E-12</c:v>
                </c:pt>
                <c:pt idx="29" formatCode="0.00E+00">
                  <c:v>3.491E-13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1C5-4D2F-B1B7-93258B0AA2E4}"/>
            </c:ext>
          </c:extLst>
        </c:ser>
        <c:ser>
          <c:idx val="14"/>
          <c:order val="3"/>
          <c:tx>
            <c:v>Eq-PBCD</c:v>
          </c:tx>
          <c:spPr>
            <a:ln w="19050" cap="rnd">
              <a:solidFill>
                <a:srgbClr val="7030A0"/>
              </a:solidFill>
              <a:round/>
            </a:ln>
            <a:effectLst/>
          </c:spPr>
          <c:marker>
            <c:symbol val="none"/>
          </c:marker>
          <c:xVal>
            <c:numRef>
              <c:f>'Fig. 16'!$R$89:$R$106</c:f>
              <c:numCache>
                <c:formatCode>General</c:formatCode>
                <c:ptCount val="18"/>
                <c:pt idx="0">
                  <c:v>1.2149999140000001</c:v>
                </c:pt>
                <c:pt idx="1">
                  <c:v>4.2030000000000003</c:v>
                </c:pt>
                <c:pt idx="2">
                  <c:v>6.407</c:v>
                </c:pt>
                <c:pt idx="3">
                  <c:v>8.7639999999999993</c:v>
                </c:pt>
                <c:pt idx="4">
                  <c:v>11.186999999999999</c:v>
                </c:pt>
                <c:pt idx="5">
                  <c:v>16.079999999999998</c:v>
                </c:pt>
                <c:pt idx="6">
                  <c:v>23.751999999999999</c:v>
                </c:pt>
                <c:pt idx="7">
                  <c:v>30.995999999999999</c:v>
                </c:pt>
                <c:pt idx="8">
                  <c:v>46.704000000000001</c:v>
                </c:pt>
                <c:pt idx="9">
                  <c:v>62.841000000000001</c:v>
                </c:pt>
                <c:pt idx="10">
                  <c:v>92.093999999999994</c:v>
                </c:pt>
                <c:pt idx="11">
                  <c:v>151.24</c:v>
                </c:pt>
                <c:pt idx="12">
                  <c:v>196.523</c:v>
                </c:pt>
                <c:pt idx="13">
                  <c:v>218.74</c:v>
                </c:pt>
                <c:pt idx="14">
                  <c:v>291.29300000000001</c:v>
                </c:pt>
                <c:pt idx="15">
                  <c:v>368.78</c:v>
                </c:pt>
                <c:pt idx="16">
                  <c:v>505.21499999999997</c:v>
                </c:pt>
                <c:pt idx="17">
                  <c:v>580.39099999999996</c:v>
                </c:pt>
              </c:numCache>
            </c:numRef>
          </c:xVal>
          <c:yVal>
            <c:numRef>
              <c:f>'Fig. 16'!$Q$89:$Q$106</c:f>
              <c:numCache>
                <c:formatCode>0.00E+00</c:formatCode>
                <c:ptCount val="18"/>
                <c:pt idx="0" formatCode="General">
                  <c:v>0.76040188710000001</c:v>
                </c:pt>
                <c:pt idx="1">
                  <c:v>0.243418</c:v>
                </c:pt>
                <c:pt idx="2">
                  <c:v>5.5775199999999997E-2</c:v>
                </c:pt>
                <c:pt idx="3">
                  <c:v>1.9543100000000001E-2</c:v>
                </c:pt>
                <c:pt idx="4">
                  <c:v>6.83835E-3</c:v>
                </c:pt>
                <c:pt idx="5">
                  <c:v>2.5684900000000001E-3</c:v>
                </c:pt>
                <c:pt idx="6">
                  <c:v>1.12105E-3</c:v>
                </c:pt>
                <c:pt idx="7">
                  <c:v>4.3520899999999999E-4</c:v>
                </c:pt>
                <c:pt idx="8">
                  <c:v>1.3257199999999999E-4</c:v>
                </c:pt>
                <c:pt idx="9">
                  <c:v>2.99161E-5</c:v>
                </c:pt>
                <c:pt idx="10">
                  <c:v>4.3251499999999996E-6</c:v>
                </c:pt>
                <c:pt idx="11">
                  <c:v>4.2076800000000003E-7</c:v>
                </c:pt>
                <c:pt idx="12">
                  <c:v>3.9231000000000002E-8</c:v>
                </c:pt>
                <c:pt idx="13">
                  <c:v>3.9991800000000002E-9</c:v>
                </c:pt>
                <c:pt idx="14">
                  <c:v>4.5889700000000001E-10</c:v>
                </c:pt>
                <c:pt idx="15">
                  <c:v>4.5072200000000003E-11</c:v>
                </c:pt>
                <c:pt idx="16">
                  <c:v>4.1391899999999999E-12</c:v>
                </c:pt>
                <c:pt idx="17">
                  <c:v>3.9112599999999998E-13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1C5-4D2F-B1B7-93258B0AA2E4}"/>
            </c:ext>
          </c:extLst>
        </c:ser>
        <c:ser>
          <c:idx val="15"/>
          <c:order val="4"/>
          <c:tx>
            <c:strRef>
              <c:f>'Fig. 16'!$U$87:$W$87</c:f>
              <c:strCache>
                <c:ptCount val="1"/>
                <c:pt idx="0">
                  <c:v>VC-PBCD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'Fig. 16'!$W$89:$W$109</c:f>
              <c:numCache>
                <c:formatCode>General</c:formatCode>
                <c:ptCount val="21"/>
                <c:pt idx="0">
                  <c:v>2.1100001339999999</c:v>
                </c:pt>
                <c:pt idx="1">
                  <c:v>8.5860002039999994</c:v>
                </c:pt>
                <c:pt idx="2">
                  <c:v>14.969000100000001</c:v>
                </c:pt>
                <c:pt idx="3">
                  <c:v>22.355000019999999</c:v>
                </c:pt>
                <c:pt idx="4">
                  <c:v>30.53100014</c:v>
                </c:pt>
                <c:pt idx="5">
                  <c:v>39.004000189999999</c:v>
                </c:pt>
                <c:pt idx="6">
                  <c:v>47.647000069999997</c:v>
                </c:pt>
                <c:pt idx="7">
                  <c:v>57.039000029999997</c:v>
                </c:pt>
                <c:pt idx="8">
                  <c:v>67.757000210000001</c:v>
                </c:pt>
                <c:pt idx="9">
                  <c:v>79.27900004</c:v>
                </c:pt>
                <c:pt idx="10">
                  <c:v>94.22900009</c:v>
                </c:pt>
                <c:pt idx="11">
                  <c:v>111.0910001</c:v>
                </c:pt>
                <c:pt idx="12">
                  <c:v>132.94500020000001</c:v>
                </c:pt>
                <c:pt idx="13">
                  <c:v>166.9130001</c:v>
                </c:pt>
                <c:pt idx="14">
                  <c:v>202.8530002</c:v>
                </c:pt>
                <c:pt idx="15">
                  <c:v>245.7640002</c:v>
                </c:pt>
                <c:pt idx="16">
                  <c:v>308.35100010000002</c:v>
                </c:pt>
                <c:pt idx="17">
                  <c:v>479.94099999999997</c:v>
                </c:pt>
                <c:pt idx="18">
                  <c:v>688.73299999999995</c:v>
                </c:pt>
                <c:pt idx="19">
                  <c:v>928.85700010000005</c:v>
                </c:pt>
                <c:pt idx="20">
                  <c:v>1177.3689999999999</c:v>
                </c:pt>
              </c:numCache>
            </c:numRef>
          </c:xVal>
          <c:yVal>
            <c:numRef>
              <c:f>'Fig. 16'!$V$89:$V$109</c:f>
              <c:numCache>
                <c:formatCode>General</c:formatCode>
                <c:ptCount val="21"/>
                <c:pt idx="0">
                  <c:v>0.99873085340000001</c:v>
                </c:pt>
                <c:pt idx="1">
                  <c:v>0.92031914739999998</c:v>
                </c:pt>
                <c:pt idx="2">
                  <c:v>0.43549120460000001</c:v>
                </c:pt>
                <c:pt idx="3">
                  <c:v>0.1270934591</c:v>
                </c:pt>
                <c:pt idx="4">
                  <c:v>5.9131444800000002E-2</c:v>
                </c:pt>
                <c:pt idx="5">
                  <c:v>2.8053947669999999E-2</c:v>
                </c:pt>
                <c:pt idx="6">
                  <c:v>1.419917819E-2</c:v>
                </c:pt>
                <c:pt idx="7">
                  <c:v>6.8723696330000002E-3</c:v>
                </c:pt>
                <c:pt idx="8">
                  <c:v>3.212414929E-3</c:v>
                </c:pt>
                <c:pt idx="9">
                  <c:v>1.4107771E-3</c:v>
                </c:pt>
                <c:pt idx="10">
                  <c:v>6.0045987549999999E-4</c:v>
                </c:pt>
                <c:pt idx="11">
                  <c:v>2.5504196039999999E-4</c:v>
                </c:pt>
                <c:pt idx="12" formatCode="0.00E+00">
                  <c:v>6.3015904239999994E-5</c:v>
                </c:pt>
                <c:pt idx="13" formatCode="0.00E+00">
                  <c:v>2.006123209E-5</c:v>
                </c:pt>
                <c:pt idx="14" formatCode="0.00E+00">
                  <c:v>4.3388950010000001E-6</c:v>
                </c:pt>
                <c:pt idx="15" formatCode="0.00E+00">
                  <c:v>5.1153098799999996E-7</c:v>
                </c:pt>
                <c:pt idx="16" formatCode="0.00E+00">
                  <c:v>4.5354990760000002E-8</c:v>
                </c:pt>
                <c:pt idx="17" formatCode="0.00E+00">
                  <c:v>4.4027496089999999E-9</c:v>
                </c:pt>
                <c:pt idx="18" formatCode="0.00E+00">
                  <c:v>1.1277185849999999E-9</c:v>
                </c:pt>
                <c:pt idx="19" formatCode="0.00E+00">
                  <c:v>3.6498493120000002E-10</c:v>
                </c:pt>
                <c:pt idx="20" formatCode="0.00E+00">
                  <c:v>1.1961887039999999E-10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1C5-4D2F-B1B7-93258B0AA2E4}"/>
            </c:ext>
          </c:extLst>
        </c:ser>
        <c:ser>
          <c:idx val="12"/>
          <c:order val="5"/>
          <c:tx>
            <c:v>VC-Eq-PBCD</c:v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xVal>
            <c:numRef>
              <c:f>'Fig. 16'!$AB$89:$AB$106</c:f>
              <c:numCache>
                <c:formatCode>General</c:formatCode>
                <c:ptCount val="18"/>
                <c:pt idx="0">
                  <c:v>1.3989999289999999</c:v>
                </c:pt>
                <c:pt idx="1">
                  <c:v>3.5230000000000001</c:v>
                </c:pt>
                <c:pt idx="2">
                  <c:v>5.0039999999999996</c:v>
                </c:pt>
                <c:pt idx="3">
                  <c:v>6.61</c:v>
                </c:pt>
                <c:pt idx="4">
                  <c:v>8.2469999999999999</c:v>
                </c:pt>
                <c:pt idx="5">
                  <c:v>9.8569999999999993</c:v>
                </c:pt>
                <c:pt idx="6">
                  <c:v>11.474</c:v>
                </c:pt>
                <c:pt idx="7">
                  <c:v>13.039</c:v>
                </c:pt>
                <c:pt idx="8">
                  <c:v>15.478</c:v>
                </c:pt>
                <c:pt idx="9">
                  <c:v>17.943000000000001</c:v>
                </c:pt>
                <c:pt idx="10">
                  <c:v>21.96</c:v>
                </c:pt>
                <c:pt idx="11">
                  <c:v>28.271999999999998</c:v>
                </c:pt>
                <c:pt idx="12">
                  <c:v>35.341000000000001</c:v>
                </c:pt>
                <c:pt idx="13">
                  <c:v>42.561</c:v>
                </c:pt>
                <c:pt idx="14">
                  <c:v>50.892000000000003</c:v>
                </c:pt>
                <c:pt idx="15">
                  <c:v>58.921999999999997</c:v>
                </c:pt>
                <c:pt idx="16">
                  <c:v>67.95</c:v>
                </c:pt>
                <c:pt idx="17">
                  <c:v>79.069000000000003</c:v>
                </c:pt>
              </c:numCache>
            </c:numRef>
          </c:xVal>
          <c:yVal>
            <c:numRef>
              <c:f>'Fig. 16'!$AA$89:$AA$106</c:f>
              <c:numCache>
                <c:formatCode>0.00E+00</c:formatCode>
                <c:ptCount val="18"/>
                <c:pt idx="0" formatCode="General">
                  <c:v>0.76040188710000001</c:v>
                </c:pt>
                <c:pt idx="1">
                  <c:v>0.2402</c:v>
                </c:pt>
                <c:pt idx="2">
                  <c:v>4.7301900000000001E-2</c:v>
                </c:pt>
                <c:pt idx="3">
                  <c:v>1.6995099999999999E-2</c:v>
                </c:pt>
                <c:pt idx="4">
                  <c:v>6.9191000000000001E-3</c:v>
                </c:pt>
                <c:pt idx="5">
                  <c:v>2.9244700000000002E-3</c:v>
                </c:pt>
                <c:pt idx="6">
                  <c:v>1.3407200000000001E-3</c:v>
                </c:pt>
                <c:pt idx="7">
                  <c:v>6.1939299999999998E-4</c:v>
                </c:pt>
                <c:pt idx="8">
                  <c:v>2.3067899999999999E-4</c:v>
                </c:pt>
                <c:pt idx="9">
                  <c:v>4.4060100000000002E-5</c:v>
                </c:pt>
                <c:pt idx="10">
                  <c:v>6.6499700000000003E-6</c:v>
                </c:pt>
                <c:pt idx="11">
                  <c:v>5.5899100000000003E-7</c:v>
                </c:pt>
                <c:pt idx="12">
                  <c:v>4.8140800000000003E-8</c:v>
                </c:pt>
                <c:pt idx="13">
                  <c:v>3.8421600000000003E-9</c:v>
                </c:pt>
                <c:pt idx="14">
                  <c:v>3.8054100000000002E-10</c:v>
                </c:pt>
                <c:pt idx="15">
                  <c:v>3.4464900000000001E-11</c:v>
                </c:pt>
                <c:pt idx="16">
                  <c:v>2.92485E-12</c:v>
                </c:pt>
                <c:pt idx="17">
                  <c:v>2.49984E-13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1C5-4D2F-B1B7-93258B0AA2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63713952"/>
        <c:axId val="1163712288"/>
        <c:extLst/>
      </c:scatterChart>
      <c:valAx>
        <c:axId val="11637139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Used Time (s)</a:t>
                </a:r>
                <a:endParaRPr lang="zh-CN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2288"/>
        <c:crosses val="autoZero"/>
        <c:crossBetween val="midCat"/>
      </c:valAx>
      <c:valAx>
        <c:axId val="1163712288"/>
        <c:scaling>
          <c:logBase val="10"/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ysClr val="windowText" lastClr="000000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US" sz="1400"/>
                  <a:t>Relative Gap</a:t>
                </a:r>
              </a:p>
            </c:rich>
          </c:tx>
          <c:layout>
            <c:manualLayout>
              <c:xMode val="edge"/>
              <c:yMode val="edge"/>
              <c:x val="3.1860600988073869E-2"/>
              <c:y val="0.3858073781634964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ysClr val="windowText" lastClr="000000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0.00E+00" sourceLinked="0"/>
        <c:majorTickMark val="none"/>
        <c:minorTickMark val="none"/>
        <c:tickLblPos val="low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163713952"/>
        <c:crosses val="autoZero"/>
        <c:crossBetween val="midCat"/>
        <c:majorUnit val="100"/>
      </c:valAx>
      <c:spPr>
        <a:noFill/>
        <a:ln w="9525">
          <a:solidFill>
            <a:sysClr val="windowText" lastClr="000000"/>
          </a:solidFill>
        </a:ln>
        <a:effectLst/>
      </c:spPr>
    </c:plotArea>
    <c:legend>
      <c:legendPos val="r"/>
      <c:layout>
        <c:manualLayout>
          <c:xMode val="edge"/>
          <c:yMode val="edge"/>
          <c:x val="0.78807435578279716"/>
          <c:y val="9.8807947771049495E-2"/>
          <c:w val="0.17081894015270452"/>
          <c:h val="0.26910742543812433"/>
        </c:manualLayout>
      </c:layout>
      <c:overlay val="0"/>
      <c:spPr>
        <a:noFill/>
        <a:ln>
          <a:solidFill>
            <a:sysClr val="windowText" lastClr="000000"/>
          </a:solidFill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ysClr val="windowText" lastClr="000000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200">
          <a:solidFill>
            <a:sysClr val="windowText" lastClr="000000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.png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659556</xdr:colOff>
      <xdr:row>63</xdr:row>
      <xdr:rowOff>62018</xdr:rowOff>
    </xdr:from>
    <xdr:to>
      <xdr:col>41</xdr:col>
      <xdr:colOff>364545</xdr:colOff>
      <xdr:row>92</xdr:row>
      <xdr:rowOff>29981</xdr:rowOff>
    </xdr:to>
    <xdr:graphicFrame macro="">
      <xdr:nvGraphicFramePr>
        <xdr:cNvPr id="6" name="图表 5">
          <a:extLst>
            <a:ext uri="{FF2B5EF4-FFF2-40B4-BE49-F238E27FC236}">
              <a16:creationId xmlns:a16="http://schemas.microsoft.com/office/drawing/2014/main" id="{D69EF8F5-56D2-4349-ACE8-023A4898EF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802131</xdr:colOff>
      <xdr:row>1</xdr:row>
      <xdr:rowOff>121664</xdr:rowOff>
    </xdr:from>
    <xdr:to>
      <xdr:col>41</xdr:col>
      <xdr:colOff>531983</xdr:colOff>
      <xdr:row>28</xdr:row>
      <xdr:rowOff>127989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021FA8B3-53E8-4C4C-BA35-4CDDBD50C1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29</xdr:col>
      <xdr:colOff>701033</xdr:colOff>
      <xdr:row>34</xdr:row>
      <xdr:rowOff>109578</xdr:rowOff>
    </xdr:from>
    <xdr:to>
      <xdr:col>43</xdr:col>
      <xdr:colOff>28359</xdr:colOff>
      <xdr:row>62</xdr:row>
      <xdr:rowOff>12967</xdr:rowOff>
    </xdr:to>
    <xdr:graphicFrame macro="">
      <xdr:nvGraphicFramePr>
        <xdr:cNvPr id="8" name="图表 7">
          <a:extLst>
            <a:ext uri="{FF2B5EF4-FFF2-40B4-BE49-F238E27FC236}">
              <a16:creationId xmlns:a16="http://schemas.microsoft.com/office/drawing/2014/main" id="{46197368-5035-4E93-ADBB-49F3418E9E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29</xdr:col>
      <xdr:colOff>140073</xdr:colOff>
      <xdr:row>93</xdr:row>
      <xdr:rowOff>160926</xdr:rowOff>
    </xdr:from>
    <xdr:to>
      <xdr:col>42</xdr:col>
      <xdr:colOff>105702</xdr:colOff>
      <xdr:row>122</xdr:row>
      <xdr:rowOff>66238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75FB9ED0-3309-425E-A046-DD1C10E1E6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43</xdr:col>
      <xdr:colOff>582706</xdr:colOff>
      <xdr:row>5</xdr:row>
      <xdr:rowOff>145676</xdr:rowOff>
    </xdr:from>
    <xdr:to>
      <xdr:col>58</xdr:col>
      <xdr:colOff>134512</xdr:colOff>
      <xdr:row>40</xdr:row>
      <xdr:rowOff>154366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FB39536E-C410-41CE-B3D8-40A27F88FD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437853" y="1098176"/>
          <a:ext cx="8628571" cy="667619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VC_PBCD-20260722--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TAPAS"/>
      <sheetName val="20241222path_iGP-iGreedy"/>
      <sheetName val="202508-Path-iGP-iGreedy"/>
      <sheetName val="Sheet4"/>
      <sheetName val="ML_Ana"/>
      <sheetName val="ML_CS"/>
      <sheetName val="ML-Birm"/>
      <sheetName val="ML_Phi"/>
      <sheetName val="ML-CR_TP"/>
      <sheetName val="VS-07-08-09"/>
      <sheetName val="Fig.10 "/>
      <sheetName val="Fig.11 "/>
      <sheetName val="Fig. 12"/>
      <sheetName val="Fig. 13 and Fig. 14"/>
      <sheetName val="Fig. 15"/>
      <sheetName val="Fig. 16"/>
      <sheetName val="VS-iGP-iTAPAS-PBCD"/>
      <sheetName val="table"/>
    </sheetNames>
    <sheetDataSet>
      <sheetData sheetId="0" refreshError="1"/>
      <sheetData sheetId="1" refreshError="1"/>
      <sheetData sheetId="2">
        <row r="4">
          <cell r="S4">
            <v>0.76040188710000001</v>
          </cell>
        </row>
      </sheetData>
      <sheetData sheetId="3" refreshError="1"/>
      <sheetData sheetId="4">
        <row r="3">
          <cell r="AK3">
            <v>0.18126265690000001</v>
          </cell>
          <cell r="AL3">
            <v>1.6000032420000001E-2</v>
          </cell>
          <cell r="CK3">
            <v>0.18126265690000001</v>
          </cell>
          <cell r="CL3">
            <v>3.0000209809999999E-3</v>
          </cell>
        </row>
        <row r="4">
          <cell r="AK4">
            <v>4.8574499079999996E-3</v>
          </cell>
          <cell r="AL4">
            <v>1.6000032420000001E-2</v>
          </cell>
          <cell r="CK4">
            <v>4.6889734190000004E-3</v>
          </cell>
          <cell r="CL4">
            <v>6.9999694819999998E-3</v>
          </cell>
        </row>
        <row r="5">
          <cell r="AK5">
            <v>6.2179960440000002E-4</v>
          </cell>
          <cell r="AL5">
            <v>1.6000032420000001E-2</v>
          </cell>
          <cell r="CK5">
            <v>5.2749166530000004E-4</v>
          </cell>
          <cell r="CL5">
            <v>9.9999904629999997E-3</v>
          </cell>
        </row>
        <row r="6">
          <cell r="AK6">
            <v>1.3318991359999999E-4</v>
          </cell>
          <cell r="AL6">
            <v>1.6000032420000001E-2</v>
          </cell>
          <cell r="CK6">
            <v>1.001270597E-4</v>
          </cell>
          <cell r="CL6">
            <v>1.399993896E-2</v>
          </cell>
        </row>
        <row r="7">
          <cell r="AK7">
            <v>1.4760672079999999E-5</v>
          </cell>
          <cell r="AL7">
            <v>1.6000032420000001E-2</v>
          </cell>
          <cell r="CK7">
            <v>3.9858633600000003E-6</v>
          </cell>
          <cell r="CL7">
            <v>2.099990845E-2</v>
          </cell>
        </row>
        <row r="8">
          <cell r="AK8">
            <v>2.8664411880000001E-6</v>
          </cell>
          <cell r="AL8">
            <v>1.6000032420000001E-2</v>
          </cell>
          <cell r="CK8">
            <v>1.717207951E-7</v>
          </cell>
          <cell r="CL8">
            <v>4.2999982829999998E-2</v>
          </cell>
        </row>
        <row r="9">
          <cell r="AK9">
            <v>1.2813376680000001E-7</v>
          </cell>
          <cell r="AL9">
            <v>3.500008583E-2</v>
          </cell>
          <cell r="CK9">
            <v>8.1528217510000007E-9</v>
          </cell>
          <cell r="CL9">
            <v>6.9999933240000006E-2</v>
          </cell>
        </row>
        <row r="10">
          <cell r="AK10">
            <v>9.5062545610000001E-9</v>
          </cell>
          <cell r="AL10">
            <v>4.2000055309999999E-2</v>
          </cell>
          <cell r="CK10">
            <v>2.3221772279999999E-9</v>
          </cell>
          <cell r="CL10">
            <v>0.10999989509999999</v>
          </cell>
        </row>
        <row r="11">
          <cell r="AK11">
            <v>3.5365772530000002E-9</v>
          </cell>
          <cell r="AL11">
            <v>5.0999879839999998E-2</v>
          </cell>
          <cell r="CK11">
            <v>1.5505940980000001E-9</v>
          </cell>
          <cell r="CL11">
            <v>0.14800000190000001</v>
          </cell>
        </row>
        <row r="12">
          <cell r="AK12">
            <v>2.3140137579999999E-9</v>
          </cell>
          <cell r="AL12">
            <v>6.8000078199999994E-2</v>
          </cell>
          <cell r="CK12">
            <v>1.0996920039999999E-9</v>
          </cell>
          <cell r="CL12">
            <v>0.18299984929999999</v>
          </cell>
        </row>
        <row r="13">
          <cell r="AK13">
            <v>1.6152752469999999E-9</v>
          </cell>
          <cell r="AL13">
            <v>9.5999956129999994E-2</v>
          </cell>
          <cell r="CK13">
            <v>7.8808881639999999E-10</v>
          </cell>
          <cell r="CL13">
            <v>0.21700000759999999</v>
          </cell>
        </row>
        <row r="14">
          <cell r="AK14">
            <v>1.140061934E-9</v>
          </cell>
          <cell r="AL14">
            <v>0.111000061</v>
          </cell>
          <cell r="CK14">
            <v>5.714761997E-10</v>
          </cell>
          <cell r="CL14">
            <v>0.2509999275</v>
          </cell>
        </row>
        <row r="15">
          <cell r="AK15">
            <v>8.2041040629999995E-10</v>
          </cell>
          <cell r="AL15">
            <v>0.11599993710000001</v>
          </cell>
          <cell r="CK15">
            <v>4.173797974E-10</v>
          </cell>
          <cell r="CL15">
            <v>0.28600001339999997</v>
          </cell>
        </row>
        <row r="16">
          <cell r="AK16">
            <v>5.9288673969999996E-10</v>
          </cell>
          <cell r="AL16">
            <v>0.13199996950000001</v>
          </cell>
          <cell r="CK16">
            <v>3.0648872330000002E-10</v>
          </cell>
          <cell r="CL16">
            <v>0.31900000569999998</v>
          </cell>
        </row>
        <row r="17">
          <cell r="AK17">
            <v>4.3247405659999998E-10</v>
          </cell>
          <cell r="AL17">
            <v>0.14800000190000001</v>
          </cell>
          <cell r="CK17">
            <v>2.26659691E-10</v>
          </cell>
          <cell r="CL17">
            <v>0.35299992559999999</v>
          </cell>
        </row>
        <row r="18">
          <cell r="AK18">
            <v>3.1693447870000001E-10</v>
          </cell>
          <cell r="AL18">
            <v>0.16599988939999999</v>
          </cell>
          <cell r="CK18">
            <v>1.6753698429999999E-10</v>
          </cell>
          <cell r="CL18">
            <v>0.38800001140000001</v>
          </cell>
        </row>
        <row r="19">
          <cell r="AK19">
            <v>2.339642924E-10</v>
          </cell>
          <cell r="AL19">
            <v>0.16599988939999999</v>
          </cell>
          <cell r="CK19">
            <v>1.243669612E-10</v>
          </cell>
          <cell r="CL19">
            <v>0.42199993130000002</v>
          </cell>
        </row>
        <row r="20">
          <cell r="AK20">
            <v>1.7296453160000001E-10</v>
          </cell>
          <cell r="AL20">
            <v>0.18199992179999999</v>
          </cell>
          <cell r="CK20">
            <v>9.2194363249999997E-11</v>
          </cell>
          <cell r="CL20">
            <v>0.45499992369999998</v>
          </cell>
        </row>
        <row r="21">
          <cell r="AK21">
            <v>1.280532347E-10</v>
          </cell>
          <cell r="AL21">
            <v>0.1970000267</v>
          </cell>
          <cell r="CK21">
            <v>6.8576810900000001E-11</v>
          </cell>
          <cell r="CL21">
            <v>0.49099993710000001</v>
          </cell>
        </row>
        <row r="22">
          <cell r="AK22">
            <v>9.4945051819999998E-11</v>
          </cell>
          <cell r="AL22">
            <v>0.2130000591</v>
          </cell>
          <cell r="CK22">
            <v>5.1156745509999999E-11</v>
          </cell>
          <cell r="CL22">
            <v>0.52399992939999995</v>
          </cell>
        </row>
        <row r="23">
          <cell r="AK23">
            <v>7.0407124570000001E-11</v>
          </cell>
          <cell r="AL23">
            <v>0.22900009160000001</v>
          </cell>
          <cell r="CK23">
            <v>3.8110292700000002E-11</v>
          </cell>
          <cell r="CL23">
            <v>0.55699992180000002</v>
          </cell>
        </row>
        <row r="24">
          <cell r="AK24">
            <v>5.2643556179999997E-11</v>
          </cell>
          <cell r="AL24">
            <v>0.24399995799999999</v>
          </cell>
          <cell r="CK24">
            <v>2.8397839639999999E-11</v>
          </cell>
          <cell r="CL24">
            <v>0.59099984169999997</v>
          </cell>
        </row>
        <row r="25">
          <cell r="AK25">
            <v>3.9229841600000002E-11</v>
          </cell>
          <cell r="AL25">
            <v>0.260999918</v>
          </cell>
          <cell r="CK25">
            <v>2.1166957080000001E-11</v>
          </cell>
          <cell r="CL25">
            <v>0.62399983410000004</v>
          </cell>
        </row>
        <row r="26">
          <cell r="AK26">
            <v>2.922173614E-11</v>
          </cell>
          <cell r="AL26">
            <v>0.27600002289999997</v>
          </cell>
          <cell r="CK26">
            <v>1.5778267579999998E-11</v>
          </cell>
          <cell r="CL26">
            <v>0.65799999239999996</v>
          </cell>
        </row>
        <row r="27">
          <cell r="AK27">
            <v>2.177802383E-11</v>
          </cell>
          <cell r="AL27">
            <v>0.28800010679999999</v>
          </cell>
          <cell r="CK27">
            <v>1.180044951E-11</v>
          </cell>
          <cell r="CL27">
            <v>0.69199991230000002</v>
          </cell>
        </row>
        <row r="28">
          <cell r="AK28">
            <v>1.626010437E-11</v>
          </cell>
          <cell r="AL28">
            <v>0.30200004580000001</v>
          </cell>
          <cell r="CK28">
            <v>8.8224982869999999E-12</v>
          </cell>
          <cell r="CL28">
            <v>0.72599983219999997</v>
          </cell>
        </row>
        <row r="29">
          <cell r="AK29">
            <v>1.214861545E-11</v>
          </cell>
          <cell r="AL29">
            <v>0.30900001529999999</v>
          </cell>
          <cell r="CK29">
            <v>6.5761840420000001E-12</v>
          </cell>
          <cell r="CL29">
            <v>0.75900006289999999</v>
          </cell>
        </row>
        <row r="30">
          <cell r="AK30">
            <v>9.0365492870000007E-12</v>
          </cell>
          <cell r="AL30">
            <v>0.32299995419999999</v>
          </cell>
          <cell r="CK30">
            <v>4.912403817E-12</v>
          </cell>
          <cell r="CL30">
            <v>0.79200005529999995</v>
          </cell>
        </row>
        <row r="31">
          <cell r="AK31">
            <v>6.7699179599999996E-12</v>
          </cell>
          <cell r="AL31">
            <v>0.34200000759999999</v>
          </cell>
          <cell r="CK31">
            <v>3.6736169659999996E-12</v>
          </cell>
          <cell r="CL31">
            <v>0.82599997520000001</v>
          </cell>
        </row>
        <row r="32">
          <cell r="AK32">
            <v>5.0403015089999996E-12</v>
          </cell>
          <cell r="AL32">
            <v>0.35500001910000001</v>
          </cell>
          <cell r="CK32">
            <v>2.7540192350000001E-12</v>
          </cell>
          <cell r="CL32">
            <v>0.85899996759999997</v>
          </cell>
        </row>
        <row r="33">
          <cell r="AK33">
            <v>3.7658764999999997E-12</v>
          </cell>
          <cell r="AL33">
            <v>0.36999988560000002</v>
          </cell>
          <cell r="CK33">
            <v>2.0506929490000001E-12</v>
          </cell>
          <cell r="CL33">
            <v>0.89400005339999999</v>
          </cell>
        </row>
        <row r="34">
          <cell r="AK34">
            <v>2.8085311849999999E-12</v>
          </cell>
          <cell r="AL34">
            <v>0.36999988560000002</v>
          </cell>
          <cell r="CK34">
            <v>1.5276668820000001E-12</v>
          </cell>
          <cell r="CL34">
            <v>0.92799997329999995</v>
          </cell>
        </row>
        <row r="42">
          <cell r="BJ42">
            <v>0.18126265690000001</v>
          </cell>
          <cell r="BK42">
            <v>2.5147128849999999E-2</v>
          </cell>
        </row>
        <row r="43">
          <cell r="BJ43">
            <v>4.969327846E-3</v>
          </cell>
          <cell r="BK43">
            <v>3.6293741320000003E-2</v>
          </cell>
        </row>
        <row r="44">
          <cell r="BJ44">
            <v>8.1675782329999999E-4</v>
          </cell>
          <cell r="BK44">
            <v>4.7538522630000003E-2</v>
          </cell>
        </row>
        <row r="45">
          <cell r="BJ45">
            <v>1.013297744E-4</v>
          </cell>
          <cell r="BK45">
            <v>5.4352555419999997E-2</v>
          </cell>
        </row>
        <row r="46">
          <cell r="BJ46">
            <v>7.144100074E-6</v>
          </cell>
          <cell r="BK46">
            <v>6.8065792319999999E-2</v>
          </cell>
        </row>
        <row r="47">
          <cell r="BJ47">
            <v>2.9188576110000002E-6</v>
          </cell>
          <cell r="BK47">
            <v>8.525136858E-2</v>
          </cell>
        </row>
        <row r="48">
          <cell r="BJ48">
            <v>2.6749954729999999E-7</v>
          </cell>
          <cell r="BK48">
            <v>0.1019234732</v>
          </cell>
        </row>
        <row r="49">
          <cell r="BJ49">
            <v>2.2264206369999998E-8</v>
          </cell>
          <cell r="BK49">
            <v>0.13401062790000001</v>
          </cell>
        </row>
        <row r="50">
          <cell r="BJ50">
            <v>3.7783851600000002E-9</v>
          </cell>
          <cell r="BK50">
            <v>0.17509494719999999</v>
          </cell>
        </row>
        <row r="51">
          <cell r="BJ51">
            <v>2.0314835370000001E-9</v>
          </cell>
          <cell r="BK51">
            <v>0.21764961629999999</v>
          </cell>
        </row>
        <row r="52">
          <cell r="BJ52">
            <v>1.401340155E-9</v>
          </cell>
          <cell r="BK52">
            <v>0.2526862137</v>
          </cell>
        </row>
        <row r="53">
          <cell r="BJ53">
            <v>9.9892860650000009E-10</v>
          </cell>
          <cell r="BK53">
            <v>0.28501001370000001</v>
          </cell>
        </row>
        <row r="54">
          <cell r="BJ54">
            <v>7.2127503970000004E-10</v>
          </cell>
          <cell r="BK54">
            <v>0.3181071989</v>
          </cell>
        </row>
        <row r="55">
          <cell r="BJ55">
            <v>5.2511839320000001E-10</v>
          </cell>
          <cell r="BK55">
            <v>0.35302636399999998</v>
          </cell>
        </row>
        <row r="56">
          <cell r="BJ56">
            <v>3.8480096890000001E-10</v>
          </cell>
          <cell r="BK56">
            <v>0.39672277500000003</v>
          </cell>
        </row>
        <row r="57">
          <cell r="BJ57">
            <v>2.8394964159999999E-10</v>
          </cell>
          <cell r="BK57">
            <v>0.43783987689999998</v>
          </cell>
        </row>
        <row r="58">
          <cell r="BJ58">
            <v>2.086288919E-10</v>
          </cell>
          <cell r="BK58">
            <v>0.47635206949999997</v>
          </cell>
        </row>
        <row r="59">
          <cell r="BJ59">
            <v>1.5408618830000001E-10</v>
          </cell>
          <cell r="BK59">
            <v>0.51497893409999995</v>
          </cell>
        </row>
        <row r="60">
          <cell r="BJ60">
            <v>1.151949647E-10</v>
          </cell>
          <cell r="BK60">
            <v>0.55382094900000001</v>
          </cell>
        </row>
        <row r="61">
          <cell r="BJ61">
            <v>8.5751850070000001E-11</v>
          </cell>
          <cell r="BK61">
            <v>0.59571607039999996</v>
          </cell>
        </row>
        <row r="62">
          <cell r="BJ62">
            <v>6.3538285739999996E-11</v>
          </cell>
          <cell r="BK62">
            <v>0.63618364189999999</v>
          </cell>
        </row>
        <row r="63">
          <cell r="BJ63">
            <v>4.7334136610000003E-11</v>
          </cell>
          <cell r="BK63">
            <v>0.66712633519999998</v>
          </cell>
        </row>
        <row r="64">
          <cell r="BJ64">
            <v>3.5359937199999997E-11</v>
          </cell>
          <cell r="BK64">
            <v>0.69773291800000004</v>
          </cell>
        </row>
        <row r="65">
          <cell r="BJ65">
            <v>2.636479923E-11</v>
          </cell>
          <cell r="BK65">
            <v>0.72814420609999997</v>
          </cell>
        </row>
        <row r="66">
          <cell r="BJ66">
            <v>1.9716006609999999E-11</v>
          </cell>
          <cell r="BK66">
            <v>0.75875237579999999</v>
          </cell>
        </row>
        <row r="67">
          <cell r="BJ67">
            <v>1.46642698E-11</v>
          </cell>
          <cell r="BK67">
            <v>0.78955931589999995</v>
          </cell>
        </row>
        <row r="68">
          <cell r="BJ68">
            <v>1.097466562E-11</v>
          </cell>
          <cell r="BK68">
            <v>0.82115341350000004</v>
          </cell>
        </row>
        <row r="69">
          <cell r="BJ69">
            <v>8.2042150850000004E-12</v>
          </cell>
          <cell r="BK69">
            <v>0.85966430599999999</v>
          </cell>
        </row>
        <row r="70">
          <cell r="BJ70">
            <v>6.1447513739999997E-12</v>
          </cell>
          <cell r="BK70">
            <v>0.89527724310000001</v>
          </cell>
        </row>
        <row r="71">
          <cell r="BJ71">
            <v>4.5894399389999998E-12</v>
          </cell>
          <cell r="BK71">
            <v>0.92945044489999995</v>
          </cell>
        </row>
        <row r="72">
          <cell r="BJ72">
            <v>3.4238167860000001E-12</v>
          </cell>
          <cell r="BK72">
            <v>0.96648564560000005</v>
          </cell>
        </row>
        <row r="73">
          <cell r="BJ73">
            <v>2.5540680680000002E-12</v>
          </cell>
          <cell r="BK73">
            <v>1.014046896</v>
          </cell>
        </row>
        <row r="74">
          <cell r="BJ74">
            <v>1.9061419110000001E-12</v>
          </cell>
          <cell r="BK74">
            <v>1.054221928</v>
          </cell>
        </row>
        <row r="75">
          <cell r="BJ75">
            <v>1.4350742820000001E-12</v>
          </cell>
          <cell r="BK75">
            <v>1.0923769999999999</v>
          </cell>
        </row>
        <row r="76">
          <cell r="BJ76">
            <v>1.068256594E-12</v>
          </cell>
          <cell r="BK76">
            <v>1.1303297910000001</v>
          </cell>
        </row>
        <row r="77">
          <cell r="BJ77">
            <v>7.9869444390000004E-13</v>
          </cell>
          <cell r="BK77">
            <v>1.1701951660000001</v>
          </cell>
        </row>
        <row r="86">
          <cell r="G86">
            <v>0.78692275909999998</v>
          </cell>
          <cell r="H86">
            <v>1.2644607570000001E-2</v>
          </cell>
        </row>
        <row r="87">
          <cell r="G87">
            <v>5.6946700000000003E-2</v>
          </cell>
          <cell r="H87">
            <v>2.7E-2</v>
          </cell>
        </row>
        <row r="88">
          <cell r="G88">
            <v>7.7423800000000001E-2</v>
          </cell>
          <cell r="H88">
            <v>3.5999999999999997E-2</v>
          </cell>
        </row>
        <row r="89">
          <cell r="G89">
            <v>1.4394499999999999E-2</v>
          </cell>
          <cell r="H89">
            <v>4.3999999999999997E-2</v>
          </cell>
        </row>
        <row r="90">
          <cell r="G90">
            <v>2.4166E-2</v>
          </cell>
          <cell r="H90">
            <v>5.1999999999999998E-2</v>
          </cell>
        </row>
        <row r="91">
          <cell r="G91">
            <v>7.6981100000000002E-3</v>
          </cell>
          <cell r="H91">
            <v>5.8999999999999997E-2</v>
          </cell>
        </row>
        <row r="92">
          <cell r="G92">
            <v>1.7940300000000001E-3</v>
          </cell>
          <cell r="H92">
            <v>6.7000000000000004E-2</v>
          </cell>
        </row>
        <row r="93">
          <cell r="G93">
            <v>5.5111899999999998E-4</v>
          </cell>
          <cell r="H93">
            <v>7.3999999999999996E-2</v>
          </cell>
        </row>
        <row r="94">
          <cell r="G94">
            <v>1.9452400000000001E-4</v>
          </cell>
          <cell r="H94">
            <v>8.2000000000000003E-2</v>
          </cell>
        </row>
        <row r="95">
          <cell r="G95">
            <v>5.4694600000000003E-5</v>
          </cell>
          <cell r="H95">
            <v>9.0999999999999998E-2</v>
          </cell>
        </row>
        <row r="96">
          <cell r="G96">
            <v>1.25015E-5</v>
          </cell>
          <cell r="H96">
            <v>0.108</v>
          </cell>
        </row>
        <row r="97">
          <cell r="G97">
            <v>1.93366E-6</v>
          </cell>
          <cell r="H97">
            <v>0.126</v>
          </cell>
        </row>
        <row r="98">
          <cell r="G98">
            <v>2.1488600000000001E-7</v>
          </cell>
          <cell r="H98">
            <v>0.14299999999999999</v>
          </cell>
        </row>
        <row r="99">
          <cell r="G99">
            <v>3.83497E-8</v>
          </cell>
          <cell r="H99">
            <v>0.16400000000000001</v>
          </cell>
        </row>
        <row r="100">
          <cell r="G100">
            <v>4.4045599999999999E-9</v>
          </cell>
          <cell r="H100">
            <v>0.18099999999999999</v>
          </cell>
        </row>
        <row r="101">
          <cell r="G101">
            <v>6.0000699999999995E-10</v>
          </cell>
          <cell r="H101">
            <v>0.20300000000000001</v>
          </cell>
        </row>
        <row r="102">
          <cell r="G102">
            <v>5.5860499999999999E-11</v>
          </cell>
          <cell r="H102">
            <v>0.222</v>
          </cell>
        </row>
        <row r="103">
          <cell r="G103">
            <v>6.1423099999999999E-12</v>
          </cell>
          <cell r="H103">
            <v>0.245</v>
          </cell>
        </row>
        <row r="104">
          <cell r="G104">
            <v>7.1725399999999998E-13</v>
          </cell>
          <cell r="H104">
            <v>0.26700000000000002</v>
          </cell>
        </row>
      </sheetData>
      <sheetData sheetId="5">
        <row r="3">
          <cell r="AP3">
            <v>0.83635351250000001</v>
          </cell>
          <cell r="AQ3">
            <v>6.200003624E-2</v>
          </cell>
        </row>
        <row r="4">
          <cell r="AP4">
            <v>2.9056129279999999E-2</v>
          </cell>
          <cell r="AQ4">
            <v>0.1619999409</v>
          </cell>
        </row>
        <row r="5">
          <cell r="AP5">
            <v>5.9446950949999999E-3</v>
          </cell>
          <cell r="AQ5">
            <v>0.23499989509999999</v>
          </cell>
        </row>
        <row r="6">
          <cell r="AP6">
            <v>1.5679080940000001E-3</v>
          </cell>
          <cell r="AQ6">
            <v>0.3039999008</v>
          </cell>
        </row>
        <row r="7">
          <cell r="AP7">
            <v>3.2990118519999999E-4</v>
          </cell>
          <cell r="AQ7">
            <v>0.38699984549999999</v>
          </cell>
        </row>
        <row r="8">
          <cell r="AP8">
            <v>7.0951458269999997E-5</v>
          </cell>
          <cell r="AQ8">
            <v>0.4370000362</v>
          </cell>
        </row>
        <row r="9">
          <cell r="AP9">
            <v>1.320131659E-5</v>
          </cell>
          <cell r="AQ9">
            <v>0.51900005339999999</v>
          </cell>
        </row>
        <row r="10">
          <cell r="AP10">
            <v>1.807701098E-6</v>
          </cell>
          <cell r="AQ10">
            <v>0.58699989320000001</v>
          </cell>
        </row>
        <row r="11">
          <cell r="AP11">
            <v>1.1930842550000001E-7</v>
          </cell>
          <cell r="AQ11">
            <v>0.67100000380000002</v>
          </cell>
        </row>
        <row r="12">
          <cell r="AP12">
            <v>1.207606937E-8</v>
          </cell>
          <cell r="AQ12">
            <v>0.75399994849999996</v>
          </cell>
        </row>
        <row r="13">
          <cell r="AP13">
            <v>9.1608920449999999E-10</v>
          </cell>
          <cell r="AQ13">
            <v>0.83699989320000001</v>
          </cell>
        </row>
        <row r="14">
          <cell r="AP14">
            <v>7.5664585710000001E-11</v>
          </cell>
          <cell r="AQ14">
            <v>0.90400004389999999</v>
          </cell>
        </row>
        <row r="15">
          <cell r="AP15">
            <v>5.9471316759999996E-12</v>
          </cell>
          <cell r="AQ15">
            <v>0.98799991610000004</v>
          </cell>
        </row>
        <row r="16">
          <cell r="AP16">
            <v>4.9282800059999997E-13</v>
          </cell>
          <cell r="AQ16">
            <v>1.070999861</v>
          </cell>
        </row>
        <row r="52">
          <cell r="AQ52">
            <v>0.83635351250000001</v>
          </cell>
          <cell r="AR52">
            <v>0.13520665840000001</v>
          </cell>
          <cell r="AY52">
            <v>0.83635351250000001</v>
          </cell>
          <cell r="AZ52">
            <v>0.16419418529999999</v>
          </cell>
        </row>
        <row r="53">
          <cell r="AQ53">
            <v>3.2947972290000002E-2</v>
          </cell>
          <cell r="AR53">
            <v>0.40950997169999998</v>
          </cell>
          <cell r="AY53">
            <v>3.3983899999999997E-2</v>
          </cell>
          <cell r="AZ53">
            <v>0.24399999999999999</v>
          </cell>
        </row>
        <row r="54">
          <cell r="AQ54">
            <v>6.6779821460000001E-3</v>
          </cell>
          <cell r="AR54">
            <v>0.58295514429999995</v>
          </cell>
          <cell r="AY54">
            <v>7.6733000000000001E-3</v>
          </cell>
          <cell r="AZ54">
            <v>0.28999999999999998</v>
          </cell>
        </row>
        <row r="55">
          <cell r="AQ55">
            <v>1.9148317640000001E-3</v>
          </cell>
          <cell r="AR55">
            <v>0.75319034230000004</v>
          </cell>
          <cell r="AY55">
            <v>2.1949999999999999E-3</v>
          </cell>
          <cell r="AZ55">
            <v>0.32800000000000001</v>
          </cell>
        </row>
        <row r="56">
          <cell r="AQ56">
            <v>4.1258393670000001E-4</v>
          </cell>
          <cell r="AR56">
            <v>0.85505094380000002</v>
          </cell>
          <cell r="AY56">
            <v>5.9688299999999998E-4</v>
          </cell>
          <cell r="AZ56">
            <v>0.35899999999999999</v>
          </cell>
        </row>
        <row r="57">
          <cell r="AQ57">
            <v>1.467900713E-4</v>
          </cell>
          <cell r="AR57">
            <v>0.95380730930000002</v>
          </cell>
          <cell r="AY57">
            <v>1.7793400000000001E-4</v>
          </cell>
          <cell r="AZ57">
            <v>0.39200000000000002</v>
          </cell>
        </row>
        <row r="58">
          <cell r="AQ58">
            <v>6.3358110080000005E-5</v>
          </cell>
          <cell r="AR58">
            <v>1.0542159419999999</v>
          </cell>
          <cell r="AY58">
            <v>4.4623299999999997E-5</v>
          </cell>
          <cell r="AZ58">
            <v>0.42599999999999999</v>
          </cell>
        </row>
        <row r="59">
          <cell r="AQ59">
            <v>2.1334334609999999E-5</v>
          </cell>
          <cell r="AR59">
            <v>1.193496715</v>
          </cell>
          <cell r="AY59">
            <v>1.31346E-5</v>
          </cell>
          <cell r="AZ59">
            <v>0.46400000000000002</v>
          </cell>
        </row>
        <row r="60">
          <cell r="AQ60">
            <v>2.8113341229999999E-6</v>
          </cell>
          <cell r="AR60">
            <v>1.3321904579999999</v>
          </cell>
          <cell r="AY60">
            <v>1.12503E-5</v>
          </cell>
          <cell r="AZ60">
            <v>0.505</v>
          </cell>
        </row>
        <row r="61">
          <cell r="AQ61">
            <v>2.8396337910000001E-7</v>
          </cell>
          <cell r="AR61">
            <v>1.4579745529999999</v>
          </cell>
          <cell r="AY61">
            <v>8.4141900000000008E-6</v>
          </cell>
          <cell r="AZ61">
            <v>0.54</v>
          </cell>
        </row>
        <row r="62">
          <cell r="AQ62">
            <v>5.053455443E-8</v>
          </cell>
          <cell r="AR62">
            <v>1.643198892</v>
          </cell>
          <cell r="AY62">
            <v>8.484E-7</v>
          </cell>
          <cell r="AZ62">
            <v>0.57499999999999996</v>
          </cell>
        </row>
        <row r="63">
          <cell r="AQ63">
            <v>6.1199935120000001E-9</v>
          </cell>
          <cell r="AR63">
            <v>2.008492924</v>
          </cell>
          <cell r="AY63">
            <v>8.27574E-8</v>
          </cell>
          <cell r="AZ63">
            <v>0.64400000000000002</v>
          </cell>
        </row>
        <row r="64">
          <cell r="AQ64">
            <v>1.5139055560000001E-9</v>
          </cell>
          <cell r="AR64">
            <v>2.4151788320000001</v>
          </cell>
          <cell r="AY64">
            <v>4.0620299999999999E-8</v>
          </cell>
          <cell r="AZ64">
            <v>0.69399999999999995</v>
          </cell>
        </row>
        <row r="65">
          <cell r="AQ65">
            <v>8.4495177519999998E-10</v>
          </cell>
          <cell r="AR65">
            <v>2.6292494460000002</v>
          </cell>
          <cell r="AY65">
            <v>9.6160099999999998E-9</v>
          </cell>
          <cell r="AZ65">
            <v>0.73599999999999999</v>
          </cell>
        </row>
        <row r="66">
          <cell r="AQ66">
            <v>3.332275567E-10</v>
          </cell>
          <cell r="AR66">
            <v>2.7732697239999999</v>
          </cell>
          <cell r="AY66">
            <v>2.7589600000000002E-9</v>
          </cell>
          <cell r="AZ66">
            <v>0.78200000000000003</v>
          </cell>
        </row>
        <row r="67">
          <cell r="AQ67">
            <v>1.002293804E-10</v>
          </cell>
          <cell r="AR67">
            <v>2.9221890570000002</v>
          </cell>
          <cell r="AY67">
            <v>8.5250400000000004E-10</v>
          </cell>
          <cell r="AZ67">
            <v>0.83</v>
          </cell>
        </row>
        <row r="68">
          <cell r="AQ68">
            <v>2.030431379E-11</v>
          </cell>
          <cell r="AR68">
            <v>3.2110329339999999</v>
          </cell>
          <cell r="AY68">
            <v>9.5406700000000005E-11</v>
          </cell>
          <cell r="AZ68">
            <v>1.298</v>
          </cell>
        </row>
        <row r="69">
          <cell r="AQ69">
            <v>7.5331962889999993E-12</v>
          </cell>
          <cell r="AR69">
            <v>3.369093619</v>
          </cell>
          <cell r="AY69">
            <v>7.8906099999999996E-12</v>
          </cell>
          <cell r="AZ69">
            <v>1.419</v>
          </cell>
        </row>
        <row r="70">
          <cell r="AQ70">
            <v>8.2622797490000005E-13</v>
          </cell>
          <cell r="AR70">
            <v>3.6408842950000002</v>
          </cell>
          <cell r="AY70">
            <v>5.3199799999999997E-12</v>
          </cell>
          <cell r="AZ70">
            <v>1.486</v>
          </cell>
        </row>
        <row r="71">
          <cell r="AY71">
            <v>8.0393799999999996E-13</v>
          </cell>
          <cell r="AZ71">
            <v>1.526</v>
          </cell>
        </row>
      </sheetData>
      <sheetData sheetId="6">
        <row r="3">
          <cell r="AC3">
            <v>4.7670839280000002E-2</v>
          </cell>
          <cell r="AD3">
            <v>0.91600012779999995</v>
          </cell>
          <cell r="BF3">
            <v>4.7670839280000002E-2</v>
          </cell>
          <cell r="BG3">
            <v>0.88800001139999996</v>
          </cell>
        </row>
        <row r="4">
          <cell r="AC4">
            <v>2.6530150229999998E-3</v>
          </cell>
          <cell r="AD4">
            <v>3.1319999690000002</v>
          </cell>
          <cell r="BF4">
            <v>2.4399787840000001E-3</v>
          </cell>
          <cell r="BG4">
            <v>3.2039999959999999</v>
          </cell>
        </row>
        <row r="5">
          <cell r="AC5">
            <v>2.6296414449999999E-4</v>
          </cell>
          <cell r="AD5">
            <v>4.7810001370000004</v>
          </cell>
          <cell r="BF5">
            <v>2.7555301590000001E-4</v>
          </cell>
          <cell r="BG5">
            <v>5.587000132</v>
          </cell>
        </row>
        <row r="6">
          <cell r="AC6">
            <v>4.5923711710000003E-5</v>
          </cell>
          <cell r="AD6">
            <v>6.6740000249999998</v>
          </cell>
          <cell r="BF6">
            <v>3.9513337789999997E-5</v>
          </cell>
          <cell r="BG6">
            <v>9.1840000150000005</v>
          </cell>
        </row>
        <row r="7">
          <cell r="AC7">
            <v>2.044938889E-6</v>
          </cell>
          <cell r="AD7">
            <v>9.0320000650000001</v>
          </cell>
          <cell r="BF7">
            <v>3.7089822130000001E-6</v>
          </cell>
          <cell r="BG7">
            <v>13.083000180000001</v>
          </cell>
        </row>
        <row r="8">
          <cell r="AC8">
            <v>5.5900730380000002E-8</v>
          </cell>
          <cell r="AD8">
            <v>11.95000005</v>
          </cell>
          <cell r="BF8">
            <v>1.2937711839999999E-7</v>
          </cell>
          <cell r="BG8">
            <v>16.980000019999999</v>
          </cell>
        </row>
        <row r="9">
          <cell r="AC9">
            <v>1.103615865E-9</v>
          </cell>
          <cell r="AD9">
            <v>17.85600019</v>
          </cell>
          <cell r="BF9">
            <v>1.0862387099999999E-8</v>
          </cell>
          <cell r="BG9">
            <v>24.890000100000002</v>
          </cell>
        </row>
        <row r="10">
          <cell r="AC10">
            <v>1.284561346E-11</v>
          </cell>
          <cell r="AD10">
            <v>21.33599997</v>
          </cell>
          <cell r="BF10">
            <v>1.482941214E-9</v>
          </cell>
          <cell r="BG10">
            <v>31.98500013</v>
          </cell>
        </row>
        <row r="11">
          <cell r="AC11">
            <v>1.367794766E-13</v>
          </cell>
          <cell r="AD11">
            <v>24.996000049999999</v>
          </cell>
          <cell r="BF11">
            <v>3.155109507E-11</v>
          </cell>
          <cell r="BG11">
            <v>40.006000040000004</v>
          </cell>
        </row>
        <row r="12">
          <cell r="BF12">
            <v>6.2938543270000005E-13</v>
          </cell>
          <cell r="BG12">
            <v>53.95000005</v>
          </cell>
        </row>
        <row r="28">
          <cell r="M28">
            <v>4.7670839280000002E-2</v>
          </cell>
          <cell r="N28">
            <v>1.5990020190000001</v>
          </cell>
        </row>
        <row r="29">
          <cell r="M29">
            <v>2.4115299999999998E-3</v>
          </cell>
          <cell r="N29">
            <v>3.1720000000000002</v>
          </cell>
        </row>
        <row r="30">
          <cell r="M30">
            <v>2.4850399999999998E-4</v>
          </cell>
          <cell r="N30">
            <v>4.1639999999999997</v>
          </cell>
        </row>
        <row r="31">
          <cell r="M31">
            <v>3.7017300000000002E-5</v>
          </cell>
          <cell r="N31">
            <v>5.3380000000000001</v>
          </cell>
        </row>
        <row r="32">
          <cell r="M32">
            <v>2.1909800000000002E-6</v>
          </cell>
          <cell r="N32">
            <v>6.8470000000000004</v>
          </cell>
        </row>
        <row r="33">
          <cell r="M33">
            <v>5.6099800000000002E-8</v>
          </cell>
          <cell r="N33">
            <v>9.3049999999999997</v>
          </cell>
        </row>
        <row r="34">
          <cell r="M34">
            <v>1.1235000000000001E-9</v>
          </cell>
          <cell r="N34">
            <v>12.486000000000001</v>
          </cell>
        </row>
        <row r="35">
          <cell r="M35">
            <v>2.55333E-11</v>
          </cell>
          <cell r="N35">
            <v>15.356999999999999</v>
          </cell>
        </row>
        <row r="36">
          <cell r="M36">
            <v>5.6057900000000005E-13</v>
          </cell>
          <cell r="N36">
            <v>18.28</v>
          </cell>
        </row>
      </sheetData>
      <sheetData sheetId="7">
        <row r="3">
          <cell r="C3">
            <v>0.3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3">
          <cell r="BE3" t="str">
            <v>VC-PBCD</v>
          </cell>
        </row>
      </sheetData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00643-5378-468F-ABBA-C89393DC358C}">
  <dimension ref="A1:AD120"/>
  <sheetViews>
    <sheetView tabSelected="1" zoomScale="85" zoomScaleNormal="85" workbookViewId="0">
      <selection activeCell="K29" sqref="K29"/>
    </sheetView>
  </sheetViews>
  <sheetFormatPr defaultRowHeight="15"/>
  <cols>
    <col min="1" max="1" width="9" style="7" customWidth="1"/>
    <col min="2" max="2" width="12.28515625" style="7" bestFit="1" customWidth="1"/>
    <col min="3" max="4" width="9.140625" style="7"/>
    <col min="5" max="5" width="7.85546875" style="7" customWidth="1"/>
    <col min="6" max="10" width="9.140625" style="7"/>
    <col min="11" max="11" width="9.7109375" style="7" customWidth="1"/>
    <col min="12" max="14" width="9.140625" style="7"/>
    <col min="15" max="15" width="7.85546875" style="7" customWidth="1"/>
    <col min="16" max="19" width="9.140625" style="7"/>
    <col min="20" max="20" width="9.140625" style="7" customWidth="1"/>
    <col min="21" max="21" width="11.28515625" style="7" customWidth="1"/>
    <col min="22" max="24" width="9.140625" style="7"/>
    <col min="25" max="25" width="8.140625" style="7" customWidth="1"/>
    <col min="26" max="29" width="9.140625" style="7"/>
    <col min="30" max="30" width="13.140625" style="7" bestFit="1" customWidth="1"/>
    <col min="31" max="16384" width="9.140625" style="7"/>
  </cols>
  <sheetData>
    <row r="1" spans="1:29">
      <c r="A1" s="10" t="s">
        <v>3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</row>
    <row r="2" spans="1:29">
      <c r="A2" s="9" t="s">
        <v>6</v>
      </c>
      <c r="B2" s="9"/>
      <c r="C2" s="9"/>
      <c r="F2" s="9" t="s">
        <v>10</v>
      </c>
      <c r="G2" s="9"/>
      <c r="H2" s="9"/>
      <c r="I2" s="8"/>
      <c r="K2" s="9" t="s">
        <v>11</v>
      </c>
      <c r="L2" s="9"/>
      <c r="M2" s="9"/>
      <c r="N2" s="8"/>
      <c r="P2" s="9" t="s">
        <v>12</v>
      </c>
      <c r="Q2" s="9"/>
      <c r="R2" s="9"/>
      <c r="U2" s="9" t="s">
        <v>5</v>
      </c>
      <c r="V2" s="9"/>
      <c r="W2" s="9"/>
      <c r="Z2" s="9" t="s">
        <v>13</v>
      </c>
      <c r="AA2" s="9"/>
      <c r="AB2" s="9"/>
    </row>
    <row r="3" spans="1:29">
      <c r="A3" s="7" t="s">
        <v>4</v>
      </c>
      <c r="B3" s="7" t="s">
        <v>0</v>
      </c>
      <c r="C3" s="7" t="s">
        <v>1</v>
      </c>
      <c r="F3" s="7" t="s">
        <v>4</v>
      </c>
      <c r="G3" s="7" t="s">
        <v>0</v>
      </c>
      <c r="H3" s="7" t="s">
        <v>1</v>
      </c>
      <c r="K3" s="7" t="s">
        <v>4</v>
      </c>
      <c r="L3" s="7" t="s">
        <v>0</v>
      </c>
      <c r="M3" s="7" t="s">
        <v>1</v>
      </c>
      <c r="P3" s="7" t="s">
        <v>4</v>
      </c>
      <c r="Q3" s="7" t="s">
        <v>0</v>
      </c>
      <c r="R3" s="7" t="s">
        <v>1</v>
      </c>
      <c r="U3" s="7" t="s">
        <v>4</v>
      </c>
      <c r="V3" s="7" t="s">
        <v>0</v>
      </c>
      <c r="W3" s="7" t="s">
        <v>1</v>
      </c>
      <c r="Z3" s="7" t="s">
        <v>4</v>
      </c>
      <c r="AA3" s="7" t="s">
        <v>0</v>
      </c>
      <c r="AB3" s="7" t="s">
        <v>1</v>
      </c>
    </row>
    <row r="4" spans="1:29">
      <c r="A4" s="7">
        <v>0</v>
      </c>
      <c r="B4" s="7">
        <v>0.18126265690000001</v>
      </c>
      <c r="C4" s="7">
        <f>C5/3</f>
        <v>1E-3</v>
      </c>
      <c r="F4" s="7">
        <v>0</v>
      </c>
      <c r="G4" s="7">
        <v>0.18126300000000001</v>
      </c>
      <c r="H4" s="7">
        <f>H5/3</f>
        <v>1E-3</v>
      </c>
      <c r="K4" s="7">
        <v>0</v>
      </c>
      <c r="L4" s="7">
        <v>0.18126265690000001</v>
      </c>
      <c r="M4" s="7">
        <v>4.0000000000000001E-3</v>
      </c>
      <c r="P4" s="7">
        <v>0</v>
      </c>
      <c r="Q4" s="7">
        <v>0.18126265690000001</v>
      </c>
      <c r="R4" s="7">
        <v>1.1000156400000001E-2</v>
      </c>
      <c r="U4" s="7">
        <v>0</v>
      </c>
      <c r="V4" s="7">
        <v>0.18126265690000001</v>
      </c>
      <c r="W4" s="7">
        <v>9.9992752079999998E-4</v>
      </c>
      <c r="Z4" s="7">
        <v>0</v>
      </c>
      <c r="AA4" s="7">
        <v>2.4220605020000001E-2</v>
      </c>
      <c r="AB4" s="7">
        <v>9.9992752079999998E-4</v>
      </c>
    </row>
    <row r="5" spans="1:29">
      <c r="A5" s="7">
        <v>1</v>
      </c>
      <c r="B5" s="7">
        <v>3.031364641E-3</v>
      </c>
      <c r="C5" s="7">
        <v>3.0000000000000001E-3</v>
      </c>
      <c r="F5" s="7">
        <v>1</v>
      </c>
      <c r="G5" s="7">
        <v>3.4664493279999999E-3</v>
      </c>
      <c r="H5" s="7">
        <v>3.0000000000000001E-3</v>
      </c>
      <c r="K5" s="7">
        <v>1</v>
      </c>
      <c r="L5" s="7">
        <v>3.455E-4</v>
      </c>
      <c r="M5" s="7">
        <v>2.3E-2</v>
      </c>
      <c r="P5" s="7">
        <v>1</v>
      </c>
      <c r="Q5" s="7">
        <v>4.5432685289999997E-3</v>
      </c>
      <c r="R5" s="7">
        <v>1.399993896E-2</v>
      </c>
      <c r="U5" s="7">
        <v>1</v>
      </c>
      <c r="V5" s="7">
        <v>4.4356800379999999E-3</v>
      </c>
      <c r="W5" s="7">
        <v>6.0000419619999999E-3</v>
      </c>
      <c r="Z5" s="7">
        <v>1</v>
      </c>
      <c r="AA5" s="1">
        <v>9.6596900000000001E-4</v>
      </c>
      <c r="AB5" s="7">
        <v>4.0000000000000001E-3</v>
      </c>
    </row>
    <row r="6" spans="1:29">
      <c r="A6" s="7">
        <v>2</v>
      </c>
      <c r="B6" s="7">
        <v>3.951530102E-4</v>
      </c>
      <c r="C6" s="7">
        <v>1.6E-2</v>
      </c>
      <c r="F6" s="7">
        <v>2</v>
      </c>
      <c r="G6" s="7">
        <v>4.9791468019999997E-4</v>
      </c>
      <c r="H6" s="7">
        <v>6.0000000000000001E-3</v>
      </c>
      <c r="K6" s="7">
        <v>2</v>
      </c>
      <c r="L6" s="1">
        <v>6.7520000000000004E-5</v>
      </c>
      <c r="M6" s="7">
        <v>4.1000000000000002E-2</v>
      </c>
      <c r="P6" s="7">
        <v>2</v>
      </c>
      <c r="Q6" s="7">
        <v>7.4547242980000001E-4</v>
      </c>
      <c r="R6" s="7">
        <v>1.50001049E-2</v>
      </c>
      <c r="U6" s="7">
        <v>2</v>
      </c>
      <c r="V6" s="7">
        <v>4.8293823870000001E-4</v>
      </c>
      <c r="W6" s="7">
        <v>2.3999929430000001E-2</v>
      </c>
      <c r="Z6" s="7">
        <v>2</v>
      </c>
      <c r="AA6" s="1">
        <v>8.3036799999999998E-5</v>
      </c>
      <c r="AB6" s="7">
        <v>5.0000000000000001E-3</v>
      </c>
    </row>
    <row r="7" spans="1:29">
      <c r="A7" s="7">
        <v>3</v>
      </c>
      <c r="B7" s="1">
        <v>4.7485665630000002E-5</v>
      </c>
      <c r="C7" s="7">
        <v>1.6E-2</v>
      </c>
      <c r="F7" s="7">
        <v>3</v>
      </c>
      <c r="G7" s="1">
        <v>4.2088413670000002E-5</v>
      </c>
      <c r="H7" s="7">
        <v>8.0000000000000002E-3</v>
      </c>
      <c r="K7" s="7">
        <v>3</v>
      </c>
      <c r="L7" s="1">
        <v>6.117E-6</v>
      </c>
      <c r="M7" s="7">
        <v>5.8999999999999997E-2</v>
      </c>
      <c r="P7" s="7">
        <v>3</v>
      </c>
      <c r="Q7" s="7">
        <v>1.2376623169999999E-4</v>
      </c>
      <c r="R7" s="7">
        <v>1.6000032420000001E-2</v>
      </c>
      <c r="U7" s="7">
        <v>3</v>
      </c>
      <c r="V7" s="1">
        <v>1.55084513E-5</v>
      </c>
      <c r="W7" s="7">
        <v>5.9000015259999997E-2</v>
      </c>
      <c r="Z7" s="7">
        <v>3</v>
      </c>
      <c r="AA7" s="1">
        <v>3.3431099999999999E-5</v>
      </c>
      <c r="AB7" s="7">
        <v>6.0000000000000001E-3</v>
      </c>
    </row>
    <row r="8" spans="1:29">
      <c r="A8" s="7">
        <v>4</v>
      </c>
      <c r="B8" s="1">
        <v>4.3468301670000003E-6</v>
      </c>
      <c r="C8" s="7">
        <v>1.6E-2</v>
      </c>
      <c r="F8" s="7">
        <v>4</v>
      </c>
      <c r="G8" s="1">
        <v>3.339506892E-6</v>
      </c>
      <c r="H8" s="7">
        <v>1.2E-2</v>
      </c>
      <c r="K8" s="7">
        <v>4</v>
      </c>
      <c r="L8" s="1">
        <v>1.8259999999999999E-8</v>
      </c>
      <c r="M8" s="7">
        <v>0.08</v>
      </c>
      <c r="P8" s="7">
        <v>4</v>
      </c>
      <c r="Q8" s="1">
        <v>9.105704356E-6</v>
      </c>
      <c r="R8" s="7">
        <v>1.6000032420000001E-2</v>
      </c>
      <c r="U8" s="7">
        <v>4</v>
      </c>
      <c r="V8" s="1">
        <v>3.080916423E-6</v>
      </c>
      <c r="W8" s="7">
        <v>0.16599988939999999</v>
      </c>
      <c r="Z8" s="7">
        <v>4</v>
      </c>
      <c r="AA8" s="1">
        <v>1.01286E-5</v>
      </c>
      <c r="AB8" s="7">
        <v>8.0000000000000002E-3</v>
      </c>
    </row>
    <row r="9" spans="1:29">
      <c r="A9" s="7">
        <v>5</v>
      </c>
      <c r="B9" s="1">
        <v>3.0617249710000002E-7</v>
      </c>
      <c r="C9" s="7">
        <v>2.7E-2</v>
      </c>
      <c r="F9" s="7">
        <v>5</v>
      </c>
      <c r="G9" s="1">
        <v>4.026040628E-7</v>
      </c>
      <c r="H9" s="7">
        <v>1.7000000000000001E-2</v>
      </c>
      <c r="K9" s="7">
        <v>5</v>
      </c>
      <c r="L9" s="1">
        <v>1.4230000000000001E-8</v>
      </c>
      <c r="M9" s="7">
        <v>0.10100000000000001</v>
      </c>
      <c r="P9" s="7">
        <v>5</v>
      </c>
      <c r="Q9" s="1">
        <v>2.9539033749999999E-6</v>
      </c>
      <c r="R9" s="7">
        <v>1.6000032420000001E-2</v>
      </c>
      <c r="U9" s="7">
        <v>5</v>
      </c>
      <c r="V9" s="1">
        <v>4.1283883549999999E-7</v>
      </c>
      <c r="W9" s="7">
        <v>0.33399987219999999</v>
      </c>
      <c r="Z9" s="7">
        <v>5</v>
      </c>
      <c r="AA9" s="1">
        <v>2.3740099999999999E-6</v>
      </c>
      <c r="AB9" s="7">
        <v>0.01</v>
      </c>
    </row>
    <row r="10" spans="1:29">
      <c r="A10" s="7">
        <v>6</v>
      </c>
      <c r="B10" s="1">
        <v>2.4379481099999999E-8</v>
      </c>
      <c r="C10" s="7">
        <v>3.5000000000000003E-2</v>
      </c>
      <c r="F10" s="7">
        <v>6</v>
      </c>
      <c r="G10" s="1">
        <v>2.5845616199999999E-8</v>
      </c>
      <c r="H10" s="7">
        <v>1.7000000000000001E-2</v>
      </c>
      <c r="K10" s="7">
        <v>6</v>
      </c>
      <c r="L10" s="1">
        <v>4.4730000000000002E-13</v>
      </c>
      <c r="M10" s="7">
        <v>0.124</v>
      </c>
      <c r="P10" s="7">
        <v>6</v>
      </c>
      <c r="Q10" s="1">
        <v>2.3456001330000001E-7</v>
      </c>
      <c r="R10" s="7">
        <v>1.6000032420000001E-2</v>
      </c>
      <c r="U10" s="7">
        <v>6</v>
      </c>
      <c r="V10" s="1">
        <v>2.5725355960000002E-7</v>
      </c>
      <c r="W10" s="7">
        <v>0.61999988559999997</v>
      </c>
      <c r="Z10" s="7">
        <v>6</v>
      </c>
      <c r="AA10" s="1">
        <v>6.1649799999999999E-7</v>
      </c>
      <c r="AB10" s="7">
        <v>1.7000000000000001E-2</v>
      </c>
    </row>
    <row r="11" spans="1:29">
      <c r="A11" s="7">
        <v>7</v>
      </c>
      <c r="B11" s="1">
        <v>4.0970690169999999E-9</v>
      </c>
      <c r="C11" s="7">
        <v>6.0999999999999999E-2</v>
      </c>
      <c r="F11" s="7">
        <v>7</v>
      </c>
      <c r="G11" s="1">
        <v>3.0405377099999999E-9</v>
      </c>
      <c r="H11" s="7">
        <v>4.9000000000000002E-2</v>
      </c>
      <c r="P11" s="7">
        <v>7</v>
      </c>
      <c r="Q11" s="1">
        <v>1.850887821E-8</v>
      </c>
      <c r="R11" s="7">
        <v>3.2000064850000003E-2</v>
      </c>
      <c r="U11" s="7">
        <v>7</v>
      </c>
      <c r="V11" s="1">
        <v>2.5690803360000002E-7</v>
      </c>
      <c r="W11" s="7">
        <v>0.91000008580000002</v>
      </c>
      <c r="Z11" s="7">
        <v>7</v>
      </c>
      <c r="AA11" s="1">
        <v>4.3495499999999999E-7</v>
      </c>
      <c r="AB11" s="7">
        <v>1.9E-2</v>
      </c>
    </row>
    <row r="12" spans="1:29">
      <c r="A12" s="7">
        <v>8</v>
      </c>
      <c r="B12" s="1">
        <v>2.04825501E-9</v>
      </c>
      <c r="C12" s="7">
        <v>8.8999999999999996E-2</v>
      </c>
      <c r="F12" s="7">
        <v>8</v>
      </c>
      <c r="G12" s="1">
        <v>1.0991517700000001E-9</v>
      </c>
      <c r="H12" s="7">
        <v>8.1000000000000003E-2</v>
      </c>
      <c r="P12" s="7">
        <v>8</v>
      </c>
      <c r="Q12" s="1">
        <v>3.379872826E-9</v>
      </c>
      <c r="R12" s="7">
        <v>4.6000003810000002E-2</v>
      </c>
      <c r="U12" s="7">
        <v>8</v>
      </c>
      <c r="V12" s="1">
        <v>2.5556880700000002E-7</v>
      </c>
      <c r="W12" s="7">
        <v>1.0699999330000001</v>
      </c>
      <c r="Z12" s="7">
        <v>8</v>
      </c>
      <c r="AA12" s="1">
        <v>1.4243299999999999E-7</v>
      </c>
      <c r="AB12" s="7">
        <v>3.2000000000000001E-2</v>
      </c>
    </row>
    <row r="13" spans="1:29">
      <c r="A13" s="7">
        <v>9</v>
      </c>
      <c r="B13" s="1">
        <v>1.403754224E-9</v>
      </c>
      <c r="C13" s="7">
        <v>0.115</v>
      </c>
      <c r="F13" s="7">
        <v>9</v>
      </c>
      <c r="G13" s="1">
        <v>5.9872695689999999E-10</v>
      </c>
      <c r="H13" s="7">
        <v>0.113</v>
      </c>
      <c r="P13" s="7">
        <v>9</v>
      </c>
      <c r="Q13" s="1">
        <v>1.8092386479999999E-9</v>
      </c>
      <c r="R13" s="7">
        <v>4.800009727E-2</v>
      </c>
      <c r="U13" s="7">
        <v>9</v>
      </c>
      <c r="V13" s="1">
        <v>1.680072045E-7</v>
      </c>
      <c r="W13" s="7">
        <v>1.246000051</v>
      </c>
      <c r="Z13" s="7">
        <v>9</v>
      </c>
      <c r="AA13" s="1">
        <v>4.8877E-9</v>
      </c>
      <c r="AB13" s="7">
        <v>4.2000000000000003E-2</v>
      </c>
    </row>
    <row r="14" spans="1:29">
      <c r="A14" s="7">
        <v>10</v>
      </c>
      <c r="B14" s="1">
        <v>1.0003100570000001E-9</v>
      </c>
      <c r="C14" s="7">
        <v>0.13</v>
      </c>
      <c r="F14" s="7">
        <v>10</v>
      </c>
      <c r="G14" s="1">
        <v>3.5381864109999999E-10</v>
      </c>
      <c r="H14" s="7">
        <v>0.14699999999999999</v>
      </c>
      <c r="P14" s="7">
        <v>10</v>
      </c>
      <c r="Q14" s="1">
        <v>1.242821179E-9</v>
      </c>
      <c r="R14" s="7">
        <v>7.2999954219999996E-2</v>
      </c>
      <c r="U14" s="7">
        <v>10</v>
      </c>
      <c r="V14" s="1">
        <v>1.6743249710000001E-7</v>
      </c>
      <c r="W14" s="7">
        <v>1.4170000549999999</v>
      </c>
      <c r="Y14" s="2"/>
      <c r="Z14" s="7">
        <v>10</v>
      </c>
      <c r="AA14" s="1">
        <v>2.09855E-10</v>
      </c>
      <c r="AB14" s="7">
        <v>0.06</v>
      </c>
    </row>
    <row r="15" spans="1:29">
      <c r="A15" s="7">
        <v>11</v>
      </c>
      <c r="B15" s="1">
        <v>7.1655414930000001E-10</v>
      </c>
      <c r="C15" s="7">
        <v>0.151</v>
      </c>
      <c r="F15" s="7">
        <v>11</v>
      </c>
      <c r="G15" s="1">
        <v>2.0978052630000001E-10</v>
      </c>
      <c r="H15" s="7">
        <v>0.17899999999999999</v>
      </c>
      <c r="P15" s="7">
        <v>11</v>
      </c>
      <c r="Q15" s="1">
        <v>8.9138618710000005E-10</v>
      </c>
      <c r="R15" s="7">
        <v>8.5000038149999999E-2</v>
      </c>
      <c r="U15" s="7">
        <v>11</v>
      </c>
      <c r="V15" s="5">
        <v>1.6665513659999999E-7</v>
      </c>
      <c r="W15" s="3">
        <v>1.6169998649999999</v>
      </c>
      <c r="X15" s="3"/>
      <c r="Y15" s="3"/>
      <c r="Z15" s="3">
        <v>11</v>
      </c>
      <c r="AA15" s="5">
        <v>3.14258E-11</v>
      </c>
      <c r="AB15" s="3">
        <v>7.4999999999999997E-2</v>
      </c>
      <c r="AC15" s="3"/>
    </row>
    <row r="16" spans="1:29">
      <c r="A16" s="7">
        <v>12</v>
      </c>
      <c r="B16" s="1">
        <v>5.2076765120000004E-10</v>
      </c>
      <c r="C16" s="7">
        <v>0.18</v>
      </c>
      <c r="F16" s="7">
        <v>12</v>
      </c>
      <c r="G16" s="1">
        <v>1.2617829000000001E-10</v>
      </c>
      <c r="H16" s="7">
        <v>0.20799999999999999</v>
      </c>
      <c r="P16" s="7">
        <v>12</v>
      </c>
      <c r="Q16" s="1">
        <v>6.4717831089999996E-10</v>
      </c>
      <c r="R16" s="7">
        <v>9.8000049589999999E-2</v>
      </c>
      <c r="U16" s="7">
        <v>12</v>
      </c>
      <c r="V16" s="5">
        <v>1.6743249710000001E-7</v>
      </c>
      <c r="W16" s="3">
        <v>1.767999887</v>
      </c>
      <c r="X16" s="3"/>
      <c r="Y16" s="3"/>
      <c r="Z16" s="3">
        <v>12</v>
      </c>
      <c r="AA16" s="5">
        <v>1.00141E-11</v>
      </c>
      <c r="AB16" s="3">
        <v>8.2000000000000003E-2</v>
      </c>
      <c r="AC16" s="3"/>
    </row>
    <row r="17" spans="1:29">
      <c r="A17" s="7">
        <v>13</v>
      </c>
      <c r="B17" s="1">
        <v>3.787290481E-10</v>
      </c>
      <c r="C17" s="7">
        <v>0.19600000000000001</v>
      </c>
      <c r="F17" s="7">
        <v>13</v>
      </c>
      <c r="G17" s="1">
        <v>7.6359585319999998E-11</v>
      </c>
      <c r="H17" s="7">
        <v>0.24</v>
      </c>
      <c r="P17" s="7">
        <v>13</v>
      </c>
      <c r="Q17" s="1">
        <v>4.69437933E-10</v>
      </c>
      <c r="R17" s="7">
        <v>0.1080000401</v>
      </c>
      <c r="U17" s="7">
        <v>13</v>
      </c>
      <c r="V17" s="5">
        <v>5.4424201809999996E-9</v>
      </c>
      <c r="W17" s="3">
        <v>1.914999962</v>
      </c>
      <c r="X17" s="3"/>
      <c r="Y17" s="3"/>
      <c r="Z17" s="3">
        <v>13</v>
      </c>
      <c r="AA17" s="5">
        <v>4.12347E-12</v>
      </c>
      <c r="AB17" s="3">
        <v>9.7000000000000003E-2</v>
      </c>
      <c r="AC17" s="3"/>
    </row>
    <row r="18" spans="1:29">
      <c r="A18" s="7">
        <v>14</v>
      </c>
      <c r="B18" s="1">
        <v>2.7769264669999998E-10</v>
      </c>
      <c r="C18" s="7">
        <v>0.21199999999999999</v>
      </c>
      <c r="F18" s="7">
        <v>14</v>
      </c>
      <c r="G18" s="1">
        <v>4.6688986009999998E-11</v>
      </c>
      <c r="H18" s="7">
        <v>0.27200000000000002</v>
      </c>
      <c r="P18" s="7">
        <v>14</v>
      </c>
      <c r="Q18" s="1">
        <v>3.4400660099999998E-10</v>
      </c>
      <c r="R18" s="7">
        <v>0.120000124</v>
      </c>
      <c r="U18" s="7">
        <v>14</v>
      </c>
      <c r="V18" s="5">
        <v>4.420150912E-10</v>
      </c>
      <c r="W18" s="3">
        <v>2.3899998660000001</v>
      </c>
      <c r="X18" s="3"/>
      <c r="Y18" s="3"/>
      <c r="Z18" s="3">
        <v>14</v>
      </c>
      <c r="AA18" s="5">
        <v>1.7416E-12</v>
      </c>
      <c r="AB18" s="3">
        <v>0.113</v>
      </c>
      <c r="AC18" s="3"/>
    </row>
    <row r="19" spans="1:29">
      <c r="A19" s="7">
        <v>15</v>
      </c>
      <c r="B19" s="1">
        <v>2.041222746E-10</v>
      </c>
      <c r="C19" s="7">
        <v>0.245</v>
      </c>
      <c r="F19" s="7">
        <v>15</v>
      </c>
      <c r="G19" s="1">
        <v>2.8527735730000001E-11</v>
      </c>
      <c r="H19" s="7">
        <v>0.30299999999999999</v>
      </c>
      <c r="P19" s="7">
        <v>15</v>
      </c>
      <c r="Q19" s="1">
        <v>2.5364566E-10</v>
      </c>
      <c r="R19" s="7">
        <v>0.13000011440000001</v>
      </c>
      <c r="U19" s="7">
        <v>15</v>
      </c>
      <c r="V19" s="5">
        <v>2.3180257710000001E-10</v>
      </c>
      <c r="W19" s="3">
        <v>2.9079999920000001</v>
      </c>
      <c r="X19" s="3"/>
      <c r="Y19" s="3"/>
      <c r="Z19" s="3">
        <v>15</v>
      </c>
      <c r="AA19" s="5">
        <v>3.3641400000000001E-13</v>
      </c>
      <c r="AB19" s="3">
        <v>0.129</v>
      </c>
      <c r="AC19" s="3"/>
    </row>
    <row r="20" spans="1:29">
      <c r="A20" s="7">
        <v>16</v>
      </c>
      <c r="B20" s="1">
        <v>1.501553326E-10</v>
      </c>
      <c r="C20" s="7">
        <v>0.26</v>
      </c>
      <c r="F20" s="7">
        <v>16</v>
      </c>
      <c r="G20" s="1">
        <v>1.7239432099999999E-11</v>
      </c>
      <c r="H20" s="7">
        <v>0.35</v>
      </c>
      <c r="P20" s="7">
        <v>16</v>
      </c>
      <c r="Q20" s="1">
        <v>1.8726609150000001E-10</v>
      </c>
      <c r="R20" s="7">
        <v>0.13000011440000001</v>
      </c>
      <c r="AB20" s="4"/>
      <c r="AC20" s="4"/>
    </row>
    <row r="21" spans="1:29">
      <c r="A21" s="7">
        <v>17</v>
      </c>
      <c r="B21" s="1">
        <v>1.112597792E-10</v>
      </c>
      <c r="C21" s="7">
        <v>0.27600000000000002</v>
      </c>
      <c r="F21" s="7">
        <v>17</v>
      </c>
      <c r="G21" s="1">
        <v>1.0641376670000001E-11</v>
      </c>
      <c r="H21" s="7">
        <v>0.38200000000000001</v>
      </c>
      <c r="P21" s="7">
        <v>17</v>
      </c>
      <c r="Q21" s="1">
        <v>1.3856915610000001E-10</v>
      </c>
      <c r="R21" s="7">
        <v>0.14800000190000001</v>
      </c>
      <c r="AB21" s="4"/>
      <c r="AC21" s="4"/>
    </row>
    <row r="22" spans="1:29">
      <c r="A22" s="7">
        <v>18</v>
      </c>
      <c r="B22" s="1">
        <v>8.2709838979999996E-11</v>
      </c>
      <c r="C22" s="7">
        <v>0.29399999999999998</v>
      </c>
      <c r="F22" s="7">
        <v>18</v>
      </c>
      <c r="G22" s="1">
        <v>6.4513949740000001E-12</v>
      </c>
      <c r="H22" s="7">
        <v>0.43</v>
      </c>
      <c r="P22" s="7">
        <v>18</v>
      </c>
      <c r="Q22" s="1">
        <v>1.026946306E-10</v>
      </c>
      <c r="R22" s="7">
        <v>0.1679999828</v>
      </c>
      <c r="AB22" s="4"/>
      <c r="AC22" s="4"/>
    </row>
    <row r="23" spans="1:29">
      <c r="A23" s="7">
        <v>19</v>
      </c>
      <c r="B23" s="1">
        <v>6.1195160049999996E-11</v>
      </c>
      <c r="C23" s="7">
        <v>0.32400000000000001</v>
      </c>
      <c r="F23" s="7">
        <v>19</v>
      </c>
      <c r="G23" s="1">
        <v>3.9290792840000002E-12</v>
      </c>
      <c r="H23" s="7">
        <v>0.46600000000000003</v>
      </c>
      <c r="P23" s="7">
        <v>19</v>
      </c>
      <c r="Q23" s="1">
        <v>7.6502915110000006E-11</v>
      </c>
      <c r="R23" s="7">
        <v>0.17900013919999999</v>
      </c>
      <c r="AB23" s="4"/>
      <c r="AC23" s="4"/>
    </row>
    <row r="24" spans="1:29">
      <c r="A24" s="7">
        <v>20</v>
      </c>
      <c r="B24" s="1">
        <v>4.5586756590000003E-11</v>
      </c>
      <c r="C24" s="7">
        <v>0.34100000000000003</v>
      </c>
      <c r="F24" s="7">
        <v>20</v>
      </c>
      <c r="G24" s="1">
        <v>2.406852495E-12</v>
      </c>
      <c r="H24" s="7">
        <v>0.499</v>
      </c>
      <c r="P24" s="7">
        <v>20</v>
      </c>
      <c r="Q24" s="1">
        <v>5.6926907630000002E-11</v>
      </c>
      <c r="R24" s="7">
        <v>0.1800000668</v>
      </c>
      <c r="AB24" s="4"/>
      <c r="AC24" s="4"/>
    </row>
    <row r="25" spans="1:29">
      <c r="A25" s="7">
        <v>21</v>
      </c>
      <c r="B25" s="1">
        <v>3.4186098399999997E-11</v>
      </c>
      <c r="C25" s="7">
        <v>0.35599999999999998</v>
      </c>
      <c r="F25" s="7">
        <v>21</v>
      </c>
      <c r="G25" s="1">
        <v>1.482147738E-12</v>
      </c>
      <c r="H25" s="7">
        <v>0.53400000000000003</v>
      </c>
      <c r="P25" s="7">
        <v>21</v>
      </c>
      <c r="Q25" s="1">
        <v>4.2226333539999998E-11</v>
      </c>
      <c r="R25" s="7">
        <v>0.20399999620000001</v>
      </c>
      <c r="AB25" s="4"/>
      <c r="AC25" s="4"/>
    </row>
    <row r="26" spans="1:29">
      <c r="A26" s="7">
        <v>22</v>
      </c>
      <c r="B26" s="1">
        <v>2.5326629680000002E-11</v>
      </c>
      <c r="C26" s="7">
        <v>0.372</v>
      </c>
      <c r="F26" s="7">
        <v>22</v>
      </c>
      <c r="G26" s="1">
        <v>8.9961371690000003E-13</v>
      </c>
      <c r="H26" s="7">
        <v>0.56999999999999995</v>
      </c>
      <c r="P26" s="7">
        <v>22</v>
      </c>
      <c r="Q26" s="1">
        <v>3.1560420939999998E-11</v>
      </c>
      <c r="R26" s="7">
        <v>0.21600008009999999</v>
      </c>
      <c r="AB26" s="4"/>
      <c r="AC26" s="4"/>
    </row>
    <row r="27" spans="1:29">
      <c r="A27" s="7">
        <v>23</v>
      </c>
      <c r="B27" s="1">
        <v>1.882138889E-11</v>
      </c>
      <c r="C27" s="7">
        <v>0.39400000000000002</v>
      </c>
      <c r="P27" s="7">
        <v>23</v>
      </c>
      <c r="Q27" s="1">
        <v>2.351052686E-11</v>
      </c>
      <c r="R27" s="7">
        <v>0.22800016400000001</v>
      </c>
      <c r="AB27" s="4"/>
      <c r="AC27" s="4"/>
    </row>
    <row r="28" spans="1:29">
      <c r="A28" s="7">
        <v>24</v>
      </c>
      <c r="B28" s="1">
        <v>1.401834204E-11</v>
      </c>
      <c r="C28" s="7">
        <v>0.40400000000000003</v>
      </c>
      <c r="P28" s="7">
        <v>24</v>
      </c>
      <c r="Q28" s="1">
        <v>1.7694290480000001E-11</v>
      </c>
      <c r="R28" s="7">
        <v>0.2400000095</v>
      </c>
      <c r="AB28" s="4"/>
      <c r="AC28" s="4"/>
    </row>
    <row r="29" spans="1:29">
      <c r="A29" s="7">
        <v>25</v>
      </c>
      <c r="B29" s="1">
        <v>1.0439649149999999E-11</v>
      </c>
      <c r="C29" s="7">
        <v>0.42</v>
      </c>
      <c r="P29" s="7">
        <v>25</v>
      </c>
      <c r="Q29" s="1">
        <v>1.315247911E-11</v>
      </c>
      <c r="R29" s="7">
        <v>0.25200009350000002</v>
      </c>
      <c r="AB29" s="4"/>
      <c r="AC29" s="4"/>
    </row>
    <row r="30" spans="1:29">
      <c r="A30" s="7">
        <v>26</v>
      </c>
      <c r="B30" s="1">
        <v>7.7853279379999995E-12</v>
      </c>
      <c r="C30" s="7">
        <v>0.45100000000000001</v>
      </c>
      <c r="P30" s="7">
        <v>26</v>
      </c>
      <c r="Q30" s="1">
        <v>9.7843955159999995E-12</v>
      </c>
      <c r="R30" s="7">
        <v>0.26600003239999997</v>
      </c>
      <c r="AB30" s="4"/>
      <c r="AC30" s="4"/>
    </row>
    <row r="31" spans="1:29">
      <c r="A31" s="7">
        <v>27</v>
      </c>
      <c r="B31" s="1">
        <v>5.7907012520000002E-12</v>
      </c>
      <c r="C31" s="7">
        <v>0.46700000000000003</v>
      </c>
      <c r="P31" s="7">
        <v>27</v>
      </c>
      <c r="Q31" s="1">
        <v>7.3002714980000001E-12</v>
      </c>
      <c r="R31" s="7">
        <v>0.27800011629999999</v>
      </c>
      <c r="AB31" s="4"/>
      <c r="AC31" s="4"/>
    </row>
    <row r="32" spans="1:29">
      <c r="A32" s="7">
        <v>28</v>
      </c>
      <c r="B32" s="1">
        <v>4.2975623059999996E-12</v>
      </c>
      <c r="C32" s="7">
        <v>0.48299999999999998</v>
      </c>
      <c r="P32" s="7">
        <v>28</v>
      </c>
      <c r="Q32" s="1">
        <v>5.4432014450000003E-12</v>
      </c>
      <c r="R32" s="7">
        <v>0.28600001339999997</v>
      </c>
      <c r="AB32" s="4"/>
      <c r="AC32" s="4"/>
    </row>
    <row r="33" spans="1:29">
      <c r="A33" s="7">
        <v>29</v>
      </c>
      <c r="B33" s="1">
        <v>3.193223463E-12</v>
      </c>
      <c r="C33" s="7">
        <v>0.499</v>
      </c>
      <c r="P33" s="7">
        <v>29</v>
      </c>
      <c r="Q33" s="1">
        <v>4.0755177010000002E-12</v>
      </c>
      <c r="R33" s="7">
        <v>0.29999995229999998</v>
      </c>
    </row>
    <row r="34" spans="1:29">
      <c r="A34" s="7">
        <v>30</v>
      </c>
      <c r="B34" s="1">
        <v>2.3732127370000001E-12</v>
      </c>
      <c r="C34" s="7">
        <v>0.51400000000000001</v>
      </c>
      <c r="P34" s="7">
        <v>30</v>
      </c>
      <c r="Q34" s="1">
        <v>3.055888875E-12</v>
      </c>
      <c r="R34" s="7">
        <v>0.3110001087</v>
      </c>
    </row>
    <row r="35" spans="1:29">
      <c r="A35" s="7">
        <v>31</v>
      </c>
      <c r="B35" s="1">
        <v>1.7810197760000001E-12</v>
      </c>
      <c r="C35" s="7">
        <v>0.54500000000000004</v>
      </c>
      <c r="P35" s="7">
        <v>31</v>
      </c>
      <c r="Q35" s="1">
        <v>2.2730706209999998E-12</v>
      </c>
      <c r="R35" s="7">
        <v>0.32299995419999999</v>
      </c>
    </row>
    <row r="36" spans="1:29">
      <c r="A36" s="7">
        <v>32</v>
      </c>
      <c r="B36" s="5">
        <v>1.3238299350000001E-12</v>
      </c>
      <c r="C36" s="3">
        <v>0.56100000000000005</v>
      </c>
      <c r="E36" s="3"/>
      <c r="P36" s="7">
        <v>32</v>
      </c>
      <c r="Q36" s="1">
        <v>1.699640428E-12</v>
      </c>
      <c r="R36" s="7">
        <v>0.33000016209999999</v>
      </c>
    </row>
    <row r="37" spans="1:29">
      <c r="A37" s="7">
        <v>33</v>
      </c>
      <c r="B37" s="5">
        <v>9.8443475590000001E-13</v>
      </c>
      <c r="C37" s="3">
        <v>0.57699999999999996</v>
      </c>
      <c r="E37" s="3"/>
      <c r="P37" s="7">
        <v>33</v>
      </c>
      <c r="Q37" s="1">
        <v>1.266320382E-12</v>
      </c>
      <c r="R37" s="7">
        <v>0.33000016209999999</v>
      </c>
    </row>
    <row r="38" spans="1:29">
      <c r="C38" s="3"/>
      <c r="D38" s="3"/>
      <c r="E38" s="3"/>
      <c r="P38" s="7">
        <v>34</v>
      </c>
      <c r="Q38" s="5">
        <v>9.4324548170000005E-13</v>
      </c>
      <c r="R38" s="3">
        <v>0.34500002860000001</v>
      </c>
    </row>
    <row r="44" spans="1:29">
      <c r="A44" s="10" t="s">
        <v>7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spans="1:29">
      <c r="A45" s="9" t="s">
        <v>6</v>
      </c>
      <c r="B45" s="9"/>
      <c r="C45" s="9"/>
      <c r="F45" s="9" t="s">
        <v>10</v>
      </c>
      <c r="G45" s="9"/>
      <c r="H45" s="9"/>
      <c r="K45" s="9" t="s">
        <v>11</v>
      </c>
      <c r="L45" s="9"/>
      <c r="M45" s="9"/>
      <c r="P45" s="9" t="s">
        <v>12</v>
      </c>
      <c r="Q45" s="9"/>
      <c r="R45" s="9"/>
      <c r="U45" s="9" t="s">
        <v>5</v>
      </c>
      <c r="V45" s="9"/>
      <c r="W45" s="9"/>
      <c r="Z45" s="9" t="s">
        <v>13</v>
      </c>
      <c r="AA45" s="9"/>
      <c r="AB45" s="9"/>
    </row>
    <row r="46" spans="1:29">
      <c r="A46" s="7" t="s">
        <v>4</v>
      </c>
      <c r="B46" s="7" t="s">
        <v>0</v>
      </c>
      <c r="C46" s="7" t="s">
        <v>1</v>
      </c>
      <c r="F46" s="7" t="s">
        <v>4</v>
      </c>
      <c r="G46" s="7" t="s">
        <v>0</v>
      </c>
      <c r="H46" s="7" t="s">
        <v>1</v>
      </c>
      <c r="K46" s="7" t="s">
        <v>4</v>
      </c>
      <c r="L46" s="7" t="s">
        <v>0</v>
      </c>
      <c r="M46" s="7" t="s">
        <v>1</v>
      </c>
      <c r="P46" s="7" t="s">
        <v>4</v>
      </c>
      <c r="Q46" s="7" t="s">
        <v>0</v>
      </c>
      <c r="R46" s="7" t="s">
        <v>1</v>
      </c>
      <c r="U46" s="7" t="s">
        <v>4</v>
      </c>
      <c r="V46" s="7" t="s">
        <v>0</v>
      </c>
      <c r="W46" s="7" t="s">
        <v>1</v>
      </c>
      <c r="Z46" s="7" t="s">
        <v>4</v>
      </c>
      <c r="AA46" s="7" t="s">
        <v>0</v>
      </c>
      <c r="AB46" s="7" t="s">
        <v>1</v>
      </c>
    </row>
    <row r="47" spans="1:29">
      <c r="A47" s="7">
        <v>0</v>
      </c>
      <c r="B47" s="7">
        <v>0.83635351250000001</v>
      </c>
      <c r="C47" s="7">
        <v>7.9000000000000001E-2</v>
      </c>
      <c r="F47" s="7">
        <v>0</v>
      </c>
      <c r="G47" s="7">
        <v>0.83635400000000004</v>
      </c>
      <c r="H47" s="7">
        <f>H48/3</f>
        <v>5.0333333333333334E-2</v>
      </c>
      <c r="K47" s="7">
        <v>0</v>
      </c>
      <c r="L47" s="7">
        <v>0.83635351250000001</v>
      </c>
      <c r="M47" s="7">
        <v>9.9000000000000005E-2</v>
      </c>
      <c r="P47" s="7">
        <v>0</v>
      </c>
      <c r="Q47" s="7">
        <v>0.83635351250000001</v>
      </c>
      <c r="R47" s="7">
        <v>1.9999980930000001E-2</v>
      </c>
      <c r="U47" s="7">
        <v>0</v>
      </c>
      <c r="V47" s="7">
        <v>0.83635351250000001</v>
      </c>
      <c r="W47" s="7">
        <v>5.8000087739999998E-2</v>
      </c>
      <c r="Z47" s="7">
        <v>0</v>
      </c>
      <c r="AA47" s="7">
        <v>0.83635351250000001</v>
      </c>
      <c r="AB47" s="7">
        <v>3.8000106810000003E-2</v>
      </c>
    </row>
    <row r="48" spans="1:29">
      <c r="A48" s="7">
        <v>1</v>
      </c>
      <c r="B48" s="7">
        <v>1.6840601270000002E-2</v>
      </c>
      <c r="C48" s="7">
        <v>0.23699999999999999</v>
      </c>
      <c r="F48" s="7">
        <v>1</v>
      </c>
      <c r="G48" s="7">
        <v>2.059257934E-2</v>
      </c>
      <c r="H48" s="7">
        <v>0.151</v>
      </c>
      <c r="K48" s="7">
        <v>1</v>
      </c>
      <c r="L48" s="7">
        <v>5.2839999999999996E-3</v>
      </c>
      <c r="M48" s="7">
        <v>0.82</v>
      </c>
      <c r="P48" s="7">
        <v>1</v>
      </c>
      <c r="Q48" s="7">
        <v>3.0165503400000002E-2</v>
      </c>
      <c r="R48" s="7">
        <v>9.3999862670000003E-2</v>
      </c>
      <c r="U48" s="7">
        <v>1</v>
      </c>
      <c r="V48" s="7">
        <v>2.967312226E-2</v>
      </c>
      <c r="W48" s="7">
        <v>0.43300008769999998</v>
      </c>
      <c r="Z48" s="7">
        <v>1</v>
      </c>
      <c r="AA48" s="7">
        <v>2.9557202500000001E-2</v>
      </c>
      <c r="AB48" s="7">
        <v>8.300018311E-2</v>
      </c>
    </row>
    <row r="49" spans="1:30">
      <c r="A49" s="7">
        <v>2</v>
      </c>
      <c r="B49" s="7">
        <v>3.675726601E-3</v>
      </c>
      <c r="C49" s="7">
        <v>0.34799999999999998</v>
      </c>
      <c r="F49" s="7">
        <v>2</v>
      </c>
      <c r="G49" s="7">
        <v>4.012583563E-3</v>
      </c>
      <c r="H49" s="7">
        <v>0.28599999999999998</v>
      </c>
      <c r="K49" s="7">
        <v>2</v>
      </c>
      <c r="L49" s="7">
        <v>9.2500000000000004E-4</v>
      </c>
      <c r="M49" s="7">
        <v>1.35</v>
      </c>
      <c r="P49" s="7">
        <v>2</v>
      </c>
      <c r="Q49" s="7">
        <v>6.6642118719999997E-3</v>
      </c>
      <c r="R49" s="7">
        <v>0.14800000190000001</v>
      </c>
      <c r="U49" s="7">
        <v>2</v>
      </c>
      <c r="V49" s="7">
        <v>4.6420794099999996E-3</v>
      </c>
      <c r="W49" s="7">
        <v>0.81500005720000002</v>
      </c>
      <c r="Z49" s="7">
        <v>2</v>
      </c>
      <c r="AA49" s="7">
        <v>6.1907508040000003E-3</v>
      </c>
      <c r="AB49" s="7">
        <v>0.1160001755</v>
      </c>
    </row>
    <row r="50" spans="1:30">
      <c r="A50" s="7">
        <v>3</v>
      </c>
      <c r="B50" s="7">
        <v>9.5961515120000004E-4</v>
      </c>
      <c r="C50" s="7">
        <v>0.45900000000000002</v>
      </c>
      <c r="F50" s="7">
        <v>3</v>
      </c>
      <c r="G50" s="7">
        <v>1.159743638E-3</v>
      </c>
      <c r="H50" s="7">
        <v>0.39700000000000002</v>
      </c>
      <c r="K50" s="7">
        <v>3</v>
      </c>
      <c r="L50" s="7">
        <v>1.078E-4</v>
      </c>
      <c r="M50" s="7">
        <v>1.851</v>
      </c>
      <c r="P50" s="7">
        <v>3</v>
      </c>
      <c r="Q50" s="7">
        <v>1.664947586E-3</v>
      </c>
      <c r="R50" s="7">
        <v>0.2059998512</v>
      </c>
      <c r="U50" s="7">
        <v>3</v>
      </c>
      <c r="V50" s="7">
        <v>4.3363264060000001E-4</v>
      </c>
      <c r="W50" s="7">
        <v>1.2220001220000001</v>
      </c>
      <c r="Z50" s="7">
        <v>3</v>
      </c>
      <c r="AA50" s="7">
        <v>1.628431082E-3</v>
      </c>
      <c r="AB50" s="7">
        <v>0.15000009540000001</v>
      </c>
    </row>
    <row r="51" spans="1:30">
      <c r="A51" s="7">
        <v>4</v>
      </c>
      <c r="B51" s="7">
        <v>2.9871499460000002E-4</v>
      </c>
      <c r="C51" s="7">
        <v>0.55300000000000005</v>
      </c>
      <c r="F51" s="7">
        <v>4</v>
      </c>
      <c r="G51" s="7">
        <v>2.9244797960000001E-4</v>
      </c>
      <c r="H51" s="7">
        <v>0.5</v>
      </c>
      <c r="K51" s="7">
        <v>4</v>
      </c>
      <c r="L51" s="1">
        <v>1.36E-5</v>
      </c>
      <c r="M51" s="7">
        <v>2.351</v>
      </c>
      <c r="P51" s="7">
        <v>4</v>
      </c>
      <c r="Q51" s="7">
        <v>5.0235719189999995E-4</v>
      </c>
      <c r="R51" s="7">
        <v>0.25199985499999999</v>
      </c>
      <c r="U51" s="7">
        <v>4</v>
      </c>
      <c r="V51" s="1">
        <v>5.6132339220000001E-5</v>
      </c>
      <c r="W51" s="7">
        <v>1.7360000609999999</v>
      </c>
      <c r="Z51" s="7">
        <v>4</v>
      </c>
      <c r="AA51" s="7">
        <v>5.3684999780000001E-4</v>
      </c>
      <c r="AB51" s="7">
        <v>0.17900013919999999</v>
      </c>
    </row>
    <row r="52" spans="1:30">
      <c r="A52" s="7">
        <v>5</v>
      </c>
      <c r="B52" s="7">
        <v>1.179014076E-4</v>
      </c>
      <c r="C52" s="7">
        <v>0.64800000000000002</v>
      </c>
      <c r="F52" s="7">
        <v>5</v>
      </c>
      <c r="G52" s="7">
        <v>1.2899241279999999E-4</v>
      </c>
      <c r="H52" s="7">
        <v>0.60299999999999998</v>
      </c>
      <c r="K52" s="7">
        <v>5</v>
      </c>
      <c r="L52" s="1">
        <v>1.9229999999999999E-7</v>
      </c>
      <c r="M52" s="7">
        <v>2.8220000000000001</v>
      </c>
      <c r="O52" s="2"/>
      <c r="P52" s="7">
        <v>5</v>
      </c>
      <c r="Q52" s="7">
        <v>1.124740115E-4</v>
      </c>
      <c r="R52" s="7">
        <v>0.28900003429999999</v>
      </c>
      <c r="U52" s="7">
        <v>5</v>
      </c>
      <c r="V52" s="1">
        <v>1.3446294519999999E-6</v>
      </c>
      <c r="W52" s="7">
        <v>2.2809998990000002</v>
      </c>
      <c r="Z52" s="7">
        <v>5</v>
      </c>
      <c r="AA52" s="7">
        <v>1.2431101370000001E-4</v>
      </c>
      <c r="AB52" s="7">
        <v>0.21600008009999999</v>
      </c>
    </row>
    <row r="53" spans="1:30">
      <c r="A53" s="7">
        <v>6</v>
      </c>
      <c r="B53" s="1">
        <v>3.6810869609999998E-5</v>
      </c>
      <c r="C53" s="7">
        <v>0.74299999999999999</v>
      </c>
      <c r="F53" s="7">
        <v>6</v>
      </c>
      <c r="G53" s="1">
        <v>2.755177735E-5</v>
      </c>
      <c r="H53" s="7">
        <v>0.70299999999999996</v>
      </c>
      <c r="K53" s="7">
        <v>6</v>
      </c>
      <c r="L53" s="1">
        <v>1.081E-7</v>
      </c>
      <c r="M53" s="7">
        <v>3.302</v>
      </c>
      <c r="P53" s="7">
        <v>6</v>
      </c>
      <c r="Q53" s="1">
        <v>2.6150723609999999E-5</v>
      </c>
      <c r="R53" s="7">
        <v>0.32899999619999998</v>
      </c>
      <c r="U53" s="7">
        <v>6</v>
      </c>
      <c r="V53" s="1">
        <v>1.582708353E-8</v>
      </c>
      <c r="W53" s="7">
        <v>3.0039999489999998</v>
      </c>
      <c r="Z53" s="7">
        <v>6</v>
      </c>
      <c r="AA53" s="1">
        <v>3.1800673849999997E-5</v>
      </c>
      <c r="AB53" s="7">
        <v>0.25400018689999998</v>
      </c>
    </row>
    <row r="54" spans="1:30">
      <c r="A54" s="7">
        <v>7</v>
      </c>
      <c r="B54" s="1">
        <v>1.1446660860000001E-5</v>
      </c>
      <c r="C54" s="7">
        <v>0.83799999999999997</v>
      </c>
      <c r="F54" s="7">
        <v>7</v>
      </c>
      <c r="G54" s="1">
        <v>6.2876419570000002E-6</v>
      </c>
      <c r="H54" s="7">
        <v>0.81699999999999995</v>
      </c>
      <c r="K54" s="7">
        <v>7</v>
      </c>
      <c r="L54" s="1">
        <v>1.475E-9</v>
      </c>
      <c r="M54" s="7">
        <v>3.7730000000000001</v>
      </c>
      <c r="P54" s="7">
        <v>7</v>
      </c>
      <c r="Q54" s="1">
        <v>6.0707990489999998E-6</v>
      </c>
      <c r="R54" s="7">
        <v>0.37999987600000001</v>
      </c>
      <c r="U54" s="7">
        <v>7</v>
      </c>
      <c r="V54" s="1">
        <v>1.661477622E-10</v>
      </c>
      <c r="W54" s="7">
        <v>3.8719999789999999</v>
      </c>
      <c r="Z54" s="7">
        <v>7</v>
      </c>
      <c r="AA54" s="1">
        <v>3.3888457409999999E-6</v>
      </c>
      <c r="AB54" s="7">
        <v>0.28800010679999999</v>
      </c>
    </row>
    <row r="55" spans="1:30">
      <c r="A55" s="7">
        <v>8</v>
      </c>
      <c r="B55" s="1">
        <v>2.4112401439999998E-6</v>
      </c>
      <c r="C55" s="7">
        <v>0.93400000000000005</v>
      </c>
      <c r="F55" s="7">
        <v>8</v>
      </c>
      <c r="G55" s="1">
        <v>8.2925433139999996E-7</v>
      </c>
      <c r="H55" s="7">
        <v>0.91800000000000004</v>
      </c>
      <c r="K55" s="7">
        <v>8</v>
      </c>
      <c r="L55" s="1">
        <v>1.1750000000000001E-10</v>
      </c>
      <c r="M55" s="7">
        <v>4.2530000000000001</v>
      </c>
      <c r="P55" s="7">
        <v>8</v>
      </c>
      <c r="Q55" s="1">
        <v>1.074588146E-6</v>
      </c>
      <c r="R55" s="7">
        <v>0.41299986840000003</v>
      </c>
      <c r="U55" s="7">
        <v>8</v>
      </c>
      <c r="V55" s="1">
        <v>1.7282841819999999E-12</v>
      </c>
      <c r="W55" s="7">
        <v>4.7309999469999999</v>
      </c>
      <c r="Z55" s="7">
        <v>8</v>
      </c>
      <c r="AA55" s="1">
        <v>6.278430336E-7</v>
      </c>
      <c r="AB55" s="7">
        <v>0.32599997520000001</v>
      </c>
    </row>
    <row r="56" spans="1:30">
      <c r="A56" s="7">
        <v>9</v>
      </c>
      <c r="B56" s="1">
        <v>2.24798029E-7</v>
      </c>
      <c r="C56" s="7">
        <v>1.06</v>
      </c>
      <c r="F56" s="7">
        <v>9</v>
      </c>
      <c r="G56" s="1">
        <v>9.5413336900000005E-8</v>
      </c>
      <c r="H56" s="7">
        <v>1.0329999999999999</v>
      </c>
      <c r="K56" s="7">
        <v>9</v>
      </c>
      <c r="L56" s="1">
        <v>1.107E-11</v>
      </c>
      <c r="M56" s="7">
        <v>4.7030000000000003</v>
      </c>
      <c r="P56" s="7">
        <v>9</v>
      </c>
      <c r="Q56" s="1">
        <v>1.855503005E-7</v>
      </c>
      <c r="R56" s="7">
        <v>0.46299982070000001</v>
      </c>
      <c r="U56" s="7">
        <v>9</v>
      </c>
      <c r="V56" s="1">
        <v>1.965094754E-14</v>
      </c>
      <c r="W56" s="7">
        <v>5.5309998990000002</v>
      </c>
      <c r="Z56" s="7">
        <v>9</v>
      </c>
      <c r="AA56" s="1">
        <v>1.1729659960000001E-7</v>
      </c>
      <c r="AB56" s="7">
        <v>0.36199998859999999</v>
      </c>
    </row>
    <row r="57" spans="1:30">
      <c r="A57" s="7">
        <v>10</v>
      </c>
      <c r="B57" s="1">
        <v>2.6287413020000001E-8</v>
      </c>
      <c r="C57" s="7">
        <v>1.202</v>
      </c>
      <c r="F57" s="7">
        <v>10</v>
      </c>
      <c r="G57" s="1">
        <v>1.187538445E-8</v>
      </c>
      <c r="H57" s="7">
        <v>1.167</v>
      </c>
      <c r="K57" s="7">
        <v>10</v>
      </c>
      <c r="L57" s="1">
        <v>1.1999999999999999E-12</v>
      </c>
      <c r="M57" s="7">
        <v>5.1639999999999997</v>
      </c>
      <c r="P57" s="7">
        <v>10</v>
      </c>
      <c r="Q57" s="1">
        <v>4.1382871910000003E-8</v>
      </c>
      <c r="R57" s="7">
        <v>0.51199984549999999</v>
      </c>
      <c r="Z57" s="7">
        <v>10</v>
      </c>
      <c r="AA57" s="1">
        <v>2.9384545489999999E-8</v>
      </c>
      <c r="AB57" s="7">
        <v>0.40000009539999998</v>
      </c>
    </row>
    <row r="58" spans="1:30">
      <c r="A58" s="3">
        <v>11</v>
      </c>
      <c r="B58" s="5">
        <v>1.797525462E-9</v>
      </c>
      <c r="C58" s="3">
        <v>1.329</v>
      </c>
      <c r="E58" s="3"/>
      <c r="F58" s="3">
        <v>11</v>
      </c>
      <c r="G58" s="1">
        <v>1.335425659E-9</v>
      </c>
      <c r="H58" s="7">
        <v>1.3</v>
      </c>
      <c r="K58" s="7">
        <v>11</v>
      </c>
      <c r="L58" s="1">
        <v>1.387E-13</v>
      </c>
      <c r="M58" s="7">
        <v>5.6139999999999999</v>
      </c>
      <c r="P58" s="7">
        <v>11</v>
      </c>
      <c r="Q58" s="1">
        <v>3.8737780759999998E-9</v>
      </c>
      <c r="R58" s="7">
        <v>0.62899994849999996</v>
      </c>
      <c r="T58" s="3"/>
      <c r="Y58" s="3"/>
      <c r="Z58" s="7">
        <v>11</v>
      </c>
      <c r="AA58" s="1">
        <v>5.5751571039999997E-9</v>
      </c>
      <c r="AB58" s="7">
        <v>0.43400001529999999</v>
      </c>
      <c r="AC58" s="3"/>
      <c r="AD58" s="3"/>
    </row>
    <row r="59" spans="1:30">
      <c r="A59" s="3">
        <v>12</v>
      </c>
      <c r="B59" s="5">
        <v>3.8051095610000001E-10</v>
      </c>
      <c r="C59" s="3">
        <v>1.44</v>
      </c>
      <c r="E59" s="3"/>
      <c r="F59" s="3">
        <v>12</v>
      </c>
      <c r="G59" s="1">
        <v>1.453597243E-10</v>
      </c>
      <c r="H59" s="7">
        <v>1.4119999999999999</v>
      </c>
      <c r="J59" s="3"/>
      <c r="P59" s="7">
        <v>12</v>
      </c>
      <c r="Q59" s="1">
        <v>3.300338891E-10</v>
      </c>
      <c r="R59" s="7">
        <v>0.67899990079999994</v>
      </c>
      <c r="T59" s="3"/>
      <c r="Y59" s="3"/>
      <c r="Z59" s="7">
        <v>12</v>
      </c>
      <c r="AA59" s="1">
        <v>7.9975324599999998E-10</v>
      </c>
      <c r="AB59" s="7">
        <v>0.47000002860000001</v>
      </c>
      <c r="AC59" s="3"/>
      <c r="AD59" s="3"/>
    </row>
    <row r="60" spans="1:30">
      <c r="A60" s="3">
        <v>13</v>
      </c>
      <c r="B60" s="5">
        <v>6.4956817699999996E-11</v>
      </c>
      <c r="C60" s="3">
        <v>1.5660000000000001</v>
      </c>
      <c r="E60" s="3"/>
      <c r="F60" s="3">
        <v>13</v>
      </c>
      <c r="G60" s="1">
        <v>1.913558201E-11</v>
      </c>
      <c r="H60" s="7">
        <v>1.524</v>
      </c>
      <c r="J60" s="3"/>
      <c r="P60" s="7">
        <v>13</v>
      </c>
      <c r="Q60" s="1">
        <v>3.4104497000000002E-11</v>
      </c>
      <c r="R60" s="7">
        <v>0.74899983410000004</v>
      </c>
      <c r="T60" s="3"/>
      <c r="Y60" s="3"/>
      <c r="Z60" s="7">
        <v>13</v>
      </c>
      <c r="AA60" s="1">
        <v>1.11217994E-10</v>
      </c>
      <c r="AB60" s="7">
        <v>0.51600003240000003</v>
      </c>
      <c r="AC60" s="3"/>
      <c r="AD60" s="3"/>
    </row>
    <row r="61" spans="1:30">
      <c r="A61" s="3">
        <v>14</v>
      </c>
      <c r="B61" s="5">
        <v>8.7113649630000006E-12</v>
      </c>
      <c r="C61" s="3">
        <v>1.6779999999999999</v>
      </c>
      <c r="E61" s="3"/>
      <c r="F61" s="3">
        <v>14</v>
      </c>
      <c r="G61" s="1">
        <v>2.1234125570000002E-12</v>
      </c>
      <c r="H61" s="7">
        <v>1.631</v>
      </c>
      <c r="J61" s="3"/>
      <c r="P61" s="7">
        <v>14</v>
      </c>
      <c r="Q61" s="1">
        <v>2.4300561559999999E-12</v>
      </c>
      <c r="R61" s="7">
        <v>0.79799985890000003</v>
      </c>
      <c r="T61" s="3"/>
      <c r="Y61" s="3"/>
      <c r="Z61" s="7">
        <v>14</v>
      </c>
      <c r="AA61" s="1">
        <v>2.0675901199999999E-11</v>
      </c>
      <c r="AB61" s="7">
        <v>0.55900001529999999</v>
      </c>
      <c r="AC61" s="3"/>
      <c r="AD61" s="3"/>
    </row>
    <row r="62" spans="1:30">
      <c r="A62" s="3">
        <v>15</v>
      </c>
      <c r="B62" s="5">
        <v>1.415534356E-12</v>
      </c>
      <c r="C62" s="3">
        <v>1.796</v>
      </c>
      <c r="E62" s="3"/>
      <c r="F62" s="3">
        <v>15</v>
      </c>
      <c r="G62" s="1">
        <v>2.6700863740000001E-13</v>
      </c>
      <c r="H62" s="7">
        <v>1.7509999999999999</v>
      </c>
      <c r="J62" s="3"/>
      <c r="P62" s="3">
        <v>15</v>
      </c>
      <c r="Q62" s="5">
        <v>3.1097346920000001E-13</v>
      </c>
      <c r="R62" s="3">
        <v>0.86199998860000004</v>
      </c>
      <c r="S62" s="3"/>
      <c r="T62" s="3"/>
      <c r="Y62" s="3"/>
      <c r="Z62" s="7">
        <v>15</v>
      </c>
      <c r="AA62" s="1">
        <v>3.1608510840000001E-12</v>
      </c>
      <c r="AB62" s="7">
        <v>0.60600018499999997</v>
      </c>
      <c r="AC62" s="3"/>
      <c r="AD62" s="3"/>
    </row>
    <row r="63" spans="1:30">
      <c r="A63" s="3">
        <v>16</v>
      </c>
      <c r="B63" s="5">
        <v>2.258193632E-13</v>
      </c>
      <c r="C63" s="3">
        <v>1.895</v>
      </c>
      <c r="E63" s="3"/>
      <c r="F63" s="3"/>
      <c r="G63" s="3"/>
      <c r="J63" s="3"/>
      <c r="T63" s="3"/>
      <c r="Y63" s="3"/>
      <c r="Z63" s="7">
        <v>16</v>
      </c>
      <c r="AA63" s="1">
        <v>6.3057203769999997E-13</v>
      </c>
      <c r="AB63" s="7">
        <v>0.65100002290000003</v>
      </c>
      <c r="AC63" s="3"/>
      <c r="AD63" s="3"/>
    </row>
    <row r="64" spans="1:30">
      <c r="B64" s="3"/>
      <c r="C64" s="3"/>
      <c r="D64" s="3"/>
      <c r="E64" s="3"/>
      <c r="F64" s="3"/>
      <c r="G64" s="3"/>
    </row>
    <row r="66" spans="1:29">
      <c r="A66" s="10" t="s">
        <v>8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spans="1:29">
      <c r="A67" s="9" t="s">
        <v>6</v>
      </c>
      <c r="B67" s="9"/>
      <c r="C67" s="9"/>
      <c r="F67" s="9" t="s">
        <v>10</v>
      </c>
      <c r="G67" s="9"/>
      <c r="H67" s="9"/>
      <c r="K67" s="9" t="s">
        <v>11</v>
      </c>
      <c r="L67" s="9"/>
      <c r="M67" s="9"/>
      <c r="P67" s="9" t="s">
        <v>12</v>
      </c>
      <c r="Q67" s="9"/>
      <c r="R67" s="9"/>
      <c r="U67" s="9" t="s">
        <v>5</v>
      </c>
      <c r="V67" s="9"/>
      <c r="W67" s="9"/>
      <c r="Z67" s="9" t="s">
        <v>13</v>
      </c>
      <c r="AA67" s="9"/>
      <c r="AB67" s="9"/>
    </row>
    <row r="68" spans="1:29">
      <c r="A68" s="7" t="s">
        <v>4</v>
      </c>
      <c r="B68" s="7" t="s">
        <v>0</v>
      </c>
      <c r="C68" s="7" t="s">
        <v>1</v>
      </c>
      <c r="F68" s="7" t="s">
        <v>4</v>
      </c>
      <c r="G68" s="7" t="s">
        <v>0</v>
      </c>
      <c r="H68" s="7" t="s">
        <v>1</v>
      </c>
      <c r="K68" s="7" t="s">
        <v>4</v>
      </c>
      <c r="L68" s="7" t="s">
        <v>0</v>
      </c>
      <c r="M68" s="7" t="s">
        <v>1</v>
      </c>
      <c r="P68" s="7" t="s">
        <v>4</v>
      </c>
      <c r="Q68" s="7" t="s">
        <v>0</v>
      </c>
      <c r="R68" s="7" t="s">
        <v>1</v>
      </c>
      <c r="U68" s="7" t="s">
        <v>4</v>
      </c>
      <c r="V68" s="7" t="s">
        <v>0</v>
      </c>
      <c r="W68" s="7" t="s">
        <v>1</v>
      </c>
      <c r="Z68" s="7" t="s">
        <v>4</v>
      </c>
      <c r="AA68" s="7" t="s">
        <v>0</v>
      </c>
      <c r="AB68" s="7" t="s">
        <v>1</v>
      </c>
    </row>
    <row r="69" spans="1:29">
      <c r="A69" s="7">
        <v>0</v>
      </c>
      <c r="B69" s="7">
        <v>4.7670839280000002E-2</v>
      </c>
      <c r="C69" s="7">
        <v>3.5009999999999999</v>
      </c>
      <c r="F69" s="7">
        <v>0</v>
      </c>
      <c r="G69" s="7">
        <v>4.7670999999999998E-2</v>
      </c>
      <c r="H69" s="7">
        <f>H70/3</f>
        <v>2.9963333333333337</v>
      </c>
      <c r="I69" s="7" t="s">
        <v>2</v>
      </c>
      <c r="K69" s="7">
        <v>0</v>
      </c>
      <c r="L69" s="7">
        <v>0.08</v>
      </c>
      <c r="M69" s="7">
        <v>10.411</v>
      </c>
      <c r="P69" s="7">
        <v>0</v>
      </c>
      <c r="Q69" s="7">
        <v>4.7670839280000002E-2</v>
      </c>
      <c r="R69" s="7">
        <v>0.54699993130000002</v>
      </c>
      <c r="U69" s="7">
        <v>0</v>
      </c>
      <c r="V69" s="7">
        <v>4.7670839850000001E-2</v>
      </c>
      <c r="W69" s="7">
        <v>0.73099994660000001</v>
      </c>
      <c r="Z69" s="7">
        <v>0</v>
      </c>
      <c r="AA69" s="7">
        <v>4.7670839850000001E-2</v>
      </c>
      <c r="AB69" s="7">
        <v>0.46799993519999999</v>
      </c>
    </row>
    <row r="70" spans="1:29">
      <c r="A70" s="7">
        <v>1</v>
      </c>
      <c r="B70" s="7">
        <v>1.7481598929999999E-3</v>
      </c>
      <c r="C70" s="7">
        <v>31.9</v>
      </c>
      <c r="F70" s="7">
        <v>1</v>
      </c>
      <c r="G70" s="7">
        <v>2.106300475E-3</v>
      </c>
      <c r="H70" s="7">
        <v>8.9890000000000008</v>
      </c>
      <c r="K70" s="7">
        <v>1</v>
      </c>
      <c r="L70" s="7">
        <v>5.5500000000000001E-2</v>
      </c>
      <c r="M70" s="7">
        <v>17.645</v>
      </c>
      <c r="P70" s="7">
        <v>1</v>
      </c>
      <c r="Q70" s="7">
        <v>2.4399787840000001E-3</v>
      </c>
      <c r="R70" s="7">
        <v>2.5969998840000001</v>
      </c>
      <c r="U70" s="7">
        <v>1</v>
      </c>
      <c r="V70" s="7">
        <v>2.6214243279999998E-3</v>
      </c>
      <c r="W70" s="7">
        <v>3.5009999280000001</v>
      </c>
      <c r="Z70" s="7">
        <v>1</v>
      </c>
      <c r="AA70" s="7">
        <v>2.605798089E-3</v>
      </c>
      <c r="AB70" s="7">
        <v>1.2369999890000001</v>
      </c>
    </row>
    <row r="71" spans="1:29">
      <c r="A71" s="7">
        <v>2</v>
      </c>
      <c r="B71" s="7">
        <v>1.5440046429999999E-4</v>
      </c>
      <c r="C71" s="7">
        <v>53.594999999999999</v>
      </c>
      <c r="F71" s="7">
        <v>2</v>
      </c>
      <c r="G71" s="7">
        <v>1.265463944E-4</v>
      </c>
      <c r="H71" s="7">
        <v>16.831</v>
      </c>
      <c r="K71" s="7">
        <v>2</v>
      </c>
      <c r="L71" s="7">
        <v>4.0000000000000001E-3</v>
      </c>
      <c r="M71" s="7">
        <v>31.045999999999999</v>
      </c>
      <c r="P71" s="7">
        <v>2</v>
      </c>
      <c r="Q71" s="7">
        <v>2.7555301590000001E-4</v>
      </c>
      <c r="R71" s="7">
        <v>4.0650000569999998</v>
      </c>
      <c r="U71" s="7">
        <v>2</v>
      </c>
      <c r="V71" s="7">
        <v>1.782173074E-4</v>
      </c>
      <c r="W71" s="7">
        <v>5.8569998740000004</v>
      </c>
      <c r="Z71" s="7">
        <v>2</v>
      </c>
      <c r="AA71" s="7">
        <v>2.706281496E-4</v>
      </c>
      <c r="AB71" s="7">
        <v>1.7869999409999999</v>
      </c>
    </row>
    <row r="72" spans="1:29">
      <c r="A72" s="7">
        <v>3</v>
      </c>
      <c r="B72" s="1">
        <v>2.537115399E-5</v>
      </c>
      <c r="C72" s="7">
        <v>75.444000000000003</v>
      </c>
      <c r="F72" s="7">
        <v>3</v>
      </c>
      <c r="G72" s="1">
        <v>1.872042766E-5</v>
      </c>
      <c r="H72" s="7">
        <v>24.754000000000001</v>
      </c>
      <c r="K72" s="7">
        <v>3</v>
      </c>
      <c r="L72" s="7">
        <v>2.9999999999999997E-4</v>
      </c>
      <c r="M72" s="7">
        <v>41.670999999999999</v>
      </c>
      <c r="P72" s="7">
        <v>3</v>
      </c>
      <c r="Q72" s="1">
        <v>3.9513337789999997E-5</v>
      </c>
      <c r="R72" s="7">
        <v>6.0920000080000003</v>
      </c>
      <c r="U72" s="7">
        <v>3</v>
      </c>
      <c r="V72" s="1">
        <v>2.2466854940000001E-5</v>
      </c>
      <c r="W72" s="7">
        <v>8.8190000059999996</v>
      </c>
      <c r="Z72" s="7">
        <v>3</v>
      </c>
      <c r="AA72" s="1">
        <v>3.6521618259999997E-5</v>
      </c>
      <c r="AB72" s="7">
        <v>2.4119999409999999</v>
      </c>
    </row>
    <row r="73" spans="1:29">
      <c r="A73" s="7">
        <v>4</v>
      </c>
      <c r="B73" s="1">
        <v>3.8652490860000003E-6</v>
      </c>
      <c r="C73" s="7">
        <v>90.588999999999999</v>
      </c>
      <c r="F73" s="7">
        <v>4</v>
      </c>
      <c r="G73" s="1">
        <v>2.8215369030000001E-6</v>
      </c>
      <c r="H73" s="7">
        <v>32.408999999999999</v>
      </c>
      <c r="K73" s="7">
        <v>4</v>
      </c>
      <c r="L73" s="1">
        <v>3.0486800000000001E-5</v>
      </c>
      <c r="M73" s="7">
        <v>50.109000000000002</v>
      </c>
      <c r="P73" s="7">
        <v>4</v>
      </c>
      <c r="Q73" s="1">
        <v>3.7089822130000001E-6</v>
      </c>
      <c r="R73" s="7">
        <v>8.1319999690000007</v>
      </c>
      <c r="U73" s="7">
        <v>4</v>
      </c>
      <c r="V73" s="1">
        <v>6.1954971599999999E-7</v>
      </c>
      <c r="W73" s="7">
        <v>12.17499995</v>
      </c>
      <c r="Z73" s="7">
        <v>4</v>
      </c>
      <c r="AA73" s="1">
        <v>3.128143869E-6</v>
      </c>
      <c r="AB73" s="7">
        <v>3.180999994</v>
      </c>
    </row>
    <row r="74" spans="1:29">
      <c r="A74" s="7">
        <v>5</v>
      </c>
      <c r="B74" s="1">
        <v>1.868925863E-7</v>
      </c>
      <c r="C74" s="7">
        <v>98.414000000000001</v>
      </c>
      <c r="F74" s="7">
        <v>5</v>
      </c>
      <c r="G74" s="1">
        <v>3.7016588120000002E-7</v>
      </c>
      <c r="H74" s="7">
        <v>39.945999999999998</v>
      </c>
      <c r="K74" s="7">
        <v>5</v>
      </c>
      <c r="L74" s="1">
        <v>4.8532999999999998E-6</v>
      </c>
      <c r="M74" s="7">
        <v>58.177999999999997</v>
      </c>
      <c r="P74" s="7">
        <v>5</v>
      </c>
      <c r="Q74" s="1">
        <v>1.2937711849999999E-7</v>
      </c>
      <c r="R74" s="7">
        <v>10.079000000000001</v>
      </c>
      <c r="U74" s="7">
        <v>5</v>
      </c>
      <c r="V74" s="1">
        <v>9.3370741140000004E-9</v>
      </c>
      <c r="W74" s="7">
        <v>16.957000019999999</v>
      </c>
      <c r="Z74" s="7">
        <v>5</v>
      </c>
      <c r="AA74" s="1">
        <v>1.179237782E-7</v>
      </c>
      <c r="AB74" s="7">
        <v>3.9639999869999998</v>
      </c>
    </row>
    <row r="75" spans="1:29">
      <c r="A75" s="7">
        <v>6</v>
      </c>
      <c r="B75" s="1">
        <v>1.2499778429999999E-8</v>
      </c>
      <c r="C75" s="7">
        <v>112.05200000000001</v>
      </c>
      <c r="F75" s="7">
        <v>6</v>
      </c>
      <c r="G75" s="1">
        <v>4.737672465E-8</v>
      </c>
      <c r="H75" s="7">
        <v>48.576000000000001</v>
      </c>
      <c r="K75" s="7">
        <v>6</v>
      </c>
      <c r="L75" s="1">
        <v>9.8581000000000001E-7</v>
      </c>
      <c r="M75" s="7">
        <v>66.244</v>
      </c>
      <c r="P75" s="7">
        <v>6</v>
      </c>
      <c r="Q75" s="1">
        <v>1.0862387099999999E-8</v>
      </c>
      <c r="R75" s="7">
        <v>13.547999859999999</v>
      </c>
      <c r="U75" s="7">
        <v>6</v>
      </c>
      <c r="V75" s="1">
        <v>8.9426910319999998E-11</v>
      </c>
      <c r="W75" s="7">
        <v>22.882999900000002</v>
      </c>
      <c r="Z75" s="7">
        <v>6</v>
      </c>
      <c r="AA75" s="1">
        <v>2.5721814369999999E-9</v>
      </c>
      <c r="AB75" s="7">
        <v>5.1019999980000001</v>
      </c>
    </row>
    <row r="76" spans="1:29">
      <c r="A76" s="7">
        <v>7</v>
      </c>
      <c r="B76" s="1">
        <v>8.4773255079999999E-10</v>
      </c>
      <c r="C76" s="7">
        <v>143.583</v>
      </c>
      <c r="F76" s="7">
        <v>7</v>
      </c>
      <c r="G76" s="1">
        <v>1.642362135E-9</v>
      </c>
      <c r="H76" s="7">
        <v>57.149000000000001</v>
      </c>
      <c r="K76" s="7">
        <v>7</v>
      </c>
      <c r="L76" s="1">
        <v>3.0559999999999998E-7</v>
      </c>
      <c r="M76" s="7">
        <v>74.19</v>
      </c>
      <c r="P76" s="7">
        <v>7</v>
      </c>
      <c r="Q76" s="1">
        <v>1.4829414360000001E-9</v>
      </c>
      <c r="R76" s="7">
        <v>16.76699996</v>
      </c>
      <c r="U76" s="7">
        <v>7</v>
      </c>
      <c r="V76" s="1">
        <v>8.9506180249999998E-13</v>
      </c>
      <c r="W76" s="7">
        <v>28.594000099999999</v>
      </c>
      <c r="Z76" s="7">
        <v>7</v>
      </c>
      <c r="AA76" s="1">
        <v>5.0344899360000003E-11</v>
      </c>
      <c r="AB76" s="7">
        <v>6.433000088</v>
      </c>
    </row>
    <row r="77" spans="1:29">
      <c r="A77" s="7">
        <v>8</v>
      </c>
      <c r="B77" s="1">
        <v>1.4421175359999999E-10</v>
      </c>
      <c r="C77" s="7">
        <v>179.428</v>
      </c>
      <c r="F77" s="7">
        <v>8</v>
      </c>
      <c r="G77" s="1">
        <v>2.01231698E-10</v>
      </c>
      <c r="H77" s="7">
        <v>66.856999999999999</v>
      </c>
      <c r="K77" s="7">
        <v>8</v>
      </c>
      <c r="L77" s="1">
        <v>5.6202999999999997E-8</v>
      </c>
      <c r="M77" s="7">
        <v>82.198999999999998</v>
      </c>
      <c r="P77" s="7">
        <v>8</v>
      </c>
      <c r="Q77" s="1">
        <v>3.1551206089999999E-11</v>
      </c>
      <c r="R77" s="7">
        <v>19.657000060000001</v>
      </c>
      <c r="Z77" s="7">
        <v>8</v>
      </c>
      <c r="AA77" s="1">
        <v>8.5339591300000003E-13</v>
      </c>
      <c r="AB77" s="7">
        <v>7.7469999789999999</v>
      </c>
    </row>
    <row r="78" spans="1:29">
      <c r="A78" s="7">
        <v>9</v>
      </c>
      <c r="B78" s="1">
        <v>3.09952064E-12</v>
      </c>
      <c r="C78" s="7">
        <v>213.47399999999999</v>
      </c>
      <c r="F78" s="7">
        <v>9</v>
      </c>
      <c r="G78" s="1">
        <v>5.6409321659999998E-12</v>
      </c>
      <c r="H78" s="7">
        <v>76.290000000000006</v>
      </c>
      <c r="K78" s="7">
        <v>9</v>
      </c>
      <c r="L78" s="1">
        <v>2.2405999999999999E-9</v>
      </c>
      <c r="M78" s="7">
        <v>90.221000000000004</v>
      </c>
      <c r="P78" s="7">
        <v>9</v>
      </c>
      <c r="Q78" s="5">
        <v>6.2938543270000005E-13</v>
      </c>
      <c r="R78" s="3">
        <v>25.642999889999999</v>
      </c>
    </row>
    <row r="79" spans="1:29">
      <c r="A79" s="7">
        <v>10</v>
      </c>
      <c r="B79" s="5">
        <v>5.1847415249999998E-14</v>
      </c>
      <c r="C79" s="3">
        <v>250.88200000000001</v>
      </c>
      <c r="F79" s="7">
        <v>10</v>
      </c>
      <c r="G79" s="1">
        <v>1.030286967E-13</v>
      </c>
      <c r="H79" s="7">
        <v>97.088999999999999</v>
      </c>
      <c r="K79" s="7">
        <v>10</v>
      </c>
      <c r="L79" s="1">
        <v>9.8165000000000002E-10</v>
      </c>
      <c r="M79" s="7">
        <v>98.253</v>
      </c>
    </row>
    <row r="80" spans="1:29">
      <c r="K80" s="7">
        <v>11</v>
      </c>
      <c r="L80" s="1">
        <v>2.1189000000000002E-12</v>
      </c>
      <c r="M80" s="7">
        <v>106.255</v>
      </c>
    </row>
    <row r="81" spans="1:29">
      <c r="K81" s="7">
        <v>12</v>
      </c>
      <c r="L81" s="1">
        <f>(L80+L82)/4</f>
        <v>5.3479700000000009E-13</v>
      </c>
      <c r="M81" s="1">
        <f>(M80+M82)/2</f>
        <v>110.297</v>
      </c>
    </row>
    <row r="82" spans="1:29">
      <c r="K82" s="7">
        <v>13</v>
      </c>
      <c r="L82" s="1">
        <v>2.0288000000000002E-14</v>
      </c>
      <c r="M82" s="7">
        <v>114.339</v>
      </c>
    </row>
    <row r="86" spans="1:29">
      <c r="A86" s="10" t="s">
        <v>9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spans="1:29">
      <c r="A87" s="9" t="s">
        <v>6</v>
      </c>
      <c r="B87" s="9"/>
      <c r="C87" s="9"/>
      <c r="F87" s="9" t="s">
        <v>10</v>
      </c>
      <c r="G87" s="9"/>
      <c r="H87" s="9"/>
      <c r="K87" s="9" t="s">
        <v>11</v>
      </c>
      <c r="L87" s="9"/>
      <c r="M87" s="9"/>
      <c r="P87" s="9" t="s">
        <v>12</v>
      </c>
      <c r="Q87" s="9"/>
      <c r="R87" s="9"/>
      <c r="U87" s="9" t="s">
        <v>5</v>
      </c>
      <c r="V87" s="9"/>
      <c r="W87" s="9"/>
      <c r="Z87" s="9" t="s">
        <v>13</v>
      </c>
      <c r="AA87" s="9"/>
      <c r="AB87" s="9"/>
    </row>
    <row r="88" spans="1:29">
      <c r="A88" s="7" t="s">
        <v>4</v>
      </c>
      <c r="B88" s="7" t="s">
        <v>0</v>
      </c>
      <c r="C88" s="7" t="s">
        <v>1</v>
      </c>
      <c r="F88" s="7" t="s">
        <v>4</v>
      </c>
      <c r="G88" s="7" t="s">
        <v>0</v>
      </c>
      <c r="H88" s="7" t="s">
        <v>1</v>
      </c>
      <c r="K88" s="7" t="s">
        <v>4</v>
      </c>
      <c r="L88" s="7" t="s">
        <v>0</v>
      </c>
      <c r="M88" s="7" t="s">
        <v>1</v>
      </c>
      <c r="P88" s="7" t="s">
        <v>4</v>
      </c>
      <c r="Q88" s="7" t="s">
        <v>0</v>
      </c>
      <c r="R88" s="7" t="s">
        <v>1</v>
      </c>
      <c r="U88" s="7" t="s">
        <v>4</v>
      </c>
      <c r="V88" s="7" t="s">
        <v>0</v>
      </c>
      <c r="W88" s="7" t="s">
        <v>1</v>
      </c>
      <c r="Z88" s="7" t="s">
        <v>4</v>
      </c>
      <c r="AA88" s="7" t="s">
        <v>0</v>
      </c>
      <c r="AB88" s="7" t="s">
        <v>1</v>
      </c>
    </row>
    <row r="89" spans="1:29">
      <c r="A89" s="7">
        <v>0</v>
      </c>
      <c r="B89" s="7">
        <v>0.99873085340000001</v>
      </c>
      <c r="C89" s="7">
        <v>8.1859999999999999</v>
      </c>
      <c r="F89" s="7">
        <v>0</v>
      </c>
      <c r="G89" s="7">
        <v>0.1</v>
      </c>
      <c r="H89" s="7">
        <v>4.3010000000000002</v>
      </c>
      <c r="K89" s="7">
        <v>0</v>
      </c>
      <c r="L89" s="7">
        <v>0.3</v>
      </c>
      <c r="M89" s="7">
        <v>28.12</v>
      </c>
      <c r="P89" s="7">
        <v>0</v>
      </c>
      <c r="Q89" s="7">
        <v>0.76040188710000001</v>
      </c>
      <c r="R89" s="7">
        <v>1.2149999140000001</v>
      </c>
      <c r="S89" s="7" t="s">
        <v>2</v>
      </c>
      <c r="T89" s="2"/>
      <c r="U89" s="7">
        <v>0</v>
      </c>
      <c r="V89" s="7">
        <v>0.99873085340000001</v>
      </c>
      <c r="W89" s="7">
        <v>2.1100001339999999</v>
      </c>
      <c r="Z89" s="7">
        <v>0</v>
      </c>
      <c r="AA89" s="7">
        <v>0.76040188710000001</v>
      </c>
      <c r="AB89" s="7">
        <v>1.3989999289999999</v>
      </c>
    </row>
    <row r="90" spans="1:29">
      <c r="A90" s="7">
        <v>1</v>
      </c>
      <c r="B90" s="7">
        <v>0.34389439760000001</v>
      </c>
      <c r="C90" s="7">
        <v>42.006</v>
      </c>
      <c r="F90" s="7">
        <v>1</v>
      </c>
      <c r="G90" s="1">
        <v>6.7753999999999995E-2</v>
      </c>
      <c r="H90" s="7">
        <v>14.471</v>
      </c>
      <c r="K90" s="7">
        <v>1</v>
      </c>
      <c r="L90" s="7">
        <v>4.4400000000000002E-2</v>
      </c>
      <c r="M90" s="7">
        <v>136.00899999999999</v>
      </c>
      <c r="P90" s="7">
        <v>1</v>
      </c>
      <c r="Q90" s="1">
        <v>0.243418</v>
      </c>
      <c r="R90" s="7">
        <v>4.2030000000000003</v>
      </c>
      <c r="T90" s="2"/>
      <c r="U90" s="7">
        <v>1</v>
      </c>
      <c r="V90" s="7">
        <v>0.92031914739999998</v>
      </c>
      <c r="W90" s="7">
        <v>8.5860002039999994</v>
      </c>
      <c r="Z90" s="7">
        <v>1</v>
      </c>
      <c r="AA90" s="1">
        <v>0.2402</v>
      </c>
      <c r="AB90" s="7">
        <v>3.5230000000000001</v>
      </c>
    </row>
    <row r="91" spans="1:29">
      <c r="A91" s="7">
        <v>2</v>
      </c>
      <c r="B91" s="7">
        <v>0.1055231827</v>
      </c>
      <c r="C91" s="7">
        <v>87.543999999999997</v>
      </c>
      <c r="F91" s="7">
        <v>2</v>
      </c>
      <c r="G91" s="1">
        <v>1.7292999999999999E-2</v>
      </c>
      <c r="H91" s="7">
        <v>26.037001</v>
      </c>
      <c r="K91" s="7">
        <v>2</v>
      </c>
      <c r="L91" s="7">
        <v>1.0999999999999999E-2</v>
      </c>
      <c r="M91" s="7">
        <v>167.065</v>
      </c>
      <c r="P91" s="7">
        <v>2</v>
      </c>
      <c r="Q91" s="1">
        <v>5.5775199999999997E-2</v>
      </c>
      <c r="R91" s="7">
        <v>6.407</v>
      </c>
      <c r="T91" s="2"/>
      <c r="U91" s="7">
        <v>2</v>
      </c>
      <c r="V91" s="7">
        <v>0.43549120460000001</v>
      </c>
      <c r="W91" s="7">
        <v>14.969000100000001</v>
      </c>
      <c r="Z91" s="7">
        <v>2</v>
      </c>
      <c r="AA91" s="1">
        <v>4.7301900000000001E-2</v>
      </c>
      <c r="AB91" s="7">
        <v>5.0039999999999996</v>
      </c>
    </row>
    <row r="92" spans="1:29">
      <c r="A92" s="7">
        <v>3</v>
      </c>
      <c r="B92" s="7">
        <v>4.3205295089999998E-2</v>
      </c>
      <c r="C92" s="7">
        <v>133.81399999999999</v>
      </c>
      <c r="F92" s="7">
        <v>3</v>
      </c>
      <c r="G92" s="1">
        <v>6.5380000000000004E-3</v>
      </c>
      <c r="H92" s="7">
        <v>36.756999999999998</v>
      </c>
      <c r="K92" s="7">
        <v>3</v>
      </c>
      <c r="L92" s="7">
        <v>3.0999999999999999E-3</v>
      </c>
      <c r="M92" s="7">
        <v>187.62899999999999</v>
      </c>
      <c r="P92" s="7">
        <v>3</v>
      </c>
      <c r="Q92" s="1">
        <v>1.9543100000000001E-2</v>
      </c>
      <c r="R92" s="7">
        <v>8.7639999999999993</v>
      </c>
      <c r="T92" s="3"/>
      <c r="U92" s="7">
        <v>3</v>
      </c>
      <c r="V92" s="7">
        <v>0.1270934591</v>
      </c>
      <c r="W92" s="7">
        <v>22.355000019999999</v>
      </c>
      <c r="Z92" s="7">
        <v>3</v>
      </c>
      <c r="AA92" s="1">
        <v>1.6995099999999999E-2</v>
      </c>
      <c r="AB92" s="7">
        <v>6.61</v>
      </c>
    </row>
    <row r="93" spans="1:29">
      <c r="A93" s="7">
        <v>4</v>
      </c>
      <c r="B93" s="7">
        <v>1.9873195560000001E-2</v>
      </c>
      <c r="C93" s="7">
        <v>161.703</v>
      </c>
      <c r="F93" s="7">
        <v>4</v>
      </c>
      <c r="G93" s="1">
        <v>2.7079999999999999E-3</v>
      </c>
      <c r="H93" s="7">
        <v>47.965000000000003</v>
      </c>
      <c r="K93" s="7">
        <v>4</v>
      </c>
      <c r="L93" s="7">
        <v>1E-3</v>
      </c>
      <c r="M93" s="7">
        <v>204.30600000000001</v>
      </c>
      <c r="P93" s="7">
        <v>4</v>
      </c>
      <c r="Q93" s="1">
        <v>6.83835E-3</v>
      </c>
      <c r="R93" s="7">
        <v>11.186999999999999</v>
      </c>
      <c r="T93" s="3"/>
      <c r="U93" s="7">
        <v>4</v>
      </c>
      <c r="V93" s="7">
        <v>5.9131444800000002E-2</v>
      </c>
      <c r="W93" s="7">
        <v>30.53100014</v>
      </c>
      <c r="Z93" s="7">
        <v>4</v>
      </c>
      <c r="AA93" s="1">
        <v>6.9191000000000001E-3</v>
      </c>
      <c r="AB93" s="7">
        <v>8.2469999999999999</v>
      </c>
    </row>
    <row r="94" spans="1:29">
      <c r="A94" s="7">
        <v>5</v>
      </c>
      <c r="B94" s="7">
        <v>1.053700674E-2</v>
      </c>
      <c r="C94" s="7">
        <v>190.399</v>
      </c>
      <c r="F94" s="7">
        <v>5</v>
      </c>
      <c r="G94" s="1">
        <v>1.23E-3</v>
      </c>
      <c r="H94" s="7">
        <v>69.406998000000002</v>
      </c>
      <c r="K94" s="7">
        <v>5</v>
      </c>
      <c r="L94" s="7">
        <v>2.9999999999999997E-4</v>
      </c>
      <c r="M94" s="7">
        <v>245.06800000000001</v>
      </c>
      <c r="P94" s="7">
        <v>5</v>
      </c>
      <c r="Q94" s="1">
        <v>2.5684900000000001E-3</v>
      </c>
      <c r="R94" s="7">
        <v>16.079999999999998</v>
      </c>
      <c r="T94" s="3"/>
      <c r="U94" s="7">
        <v>5</v>
      </c>
      <c r="V94" s="7">
        <v>2.8053947669999999E-2</v>
      </c>
      <c r="W94" s="7">
        <v>39.004000189999999</v>
      </c>
      <c r="Z94" s="7">
        <v>5</v>
      </c>
      <c r="AA94" s="1">
        <v>2.9244700000000002E-3</v>
      </c>
      <c r="AB94" s="7">
        <v>9.8569999999999993</v>
      </c>
    </row>
    <row r="95" spans="1:29">
      <c r="A95" s="7">
        <v>6</v>
      </c>
      <c r="B95" s="7">
        <v>5.9704664210000003E-3</v>
      </c>
      <c r="C95" s="7">
        <v>220.31100000000001</v>
      </c>
      <c r="F95" s="7">
        <v>6</v>
      </c>
      <c r="G95" s="1">
        <v>6.4800000000000003E-4</v>
      </c>
      <c r="H95" s="7">
        <v>94.387000999999998</v>
      </c>
      <c r="K95" s="7">
        <v>6</v>
      </c>
      <c r="L95" s="7">
        <v>1E-4</v>
      </c>
      <c r="M95" s="7">
        <v>301.303</v>
      </c>
      <c r="P95" s="7">
        <v>6</v>
      </c>
      <c r="Q95" s="1">
        <v>1.12105E-3</v>
      </c>
      <c r="R95" s="7">
        <v>23.751999999999999</v>
      </c>
      <c r="T95" s="3"/>
      <c r="U95" s="7">
        <v>6</v>
      </c>
      <c r="V95" s="7">
        <v>1.419917819E-2</v>
      </c>
      <c r="W95" s="7">
        <v>47.647000069999997</v>
      </c>
      <c r="Z95" s="7">
        <v>6</v>
      </c>
      <c r="AA95" s="1">
        <v>1.3407200000000001E-3</v>
      </c>
      <c r="AB95" s="7">
        <v>11.474</v>
      </c>
    </row>
    <row r="96" spans="1:29">
      <c r="A96" s="7">
        <v>7</v>
      </c>
      <c r="B96" s="7">
        <v>3.6309847800000002E-3</v>
      </c>
      <c r="C96" s="7">
        <v>251.239</v>
      </c>
      <c r="F96" s="7">
        <v>7</v>
      </c>
      <c r="G96" s="1">
        <v>3.0499999999999999E-4</v>
      </c>
      <c r="H96" s="7">
        <v>120.66799899999999</v>
      </c>
      <c r="K96" s="7">
        <v>7</v>
      </c>
      <c r="L96" s="7">
        <v>1E-4</v>
      </c>
      <c r="M96" s="7">
        <v>354.50400000000002</v>
      </c>
      <c r="P96" s="7">
        <v>7</v>
      </c>
      <c r="Q96" s="1">
        <v>4.3520899999999999E-4</v>
      </c>
      <c r="R96" s="7">
        <v>30.995999999999999</v>
      </c>
      <c r="T96" s="3"/>
      <c r="U96" s="7">
        <v>7</v>
      </c>
      <c r="V96" s="7">
        <v>6.8723696330000002E-3</v>
      </c>
      <c r="W96" s="7">
        <v>57.039000029999997</v>
      </c>
      <c r="Z96" s="7">
        <v>7</v>
      </c>
      <c r="AA96" s="1">
        <v>6.1939299999999998E-4</v>
      </c>
      <c r="AB96" s="7">
        <v>13.039</v>
      </c>
    </row>
    <row r="97" spans="1:30">
      <c r="A97" s="7">
        <v>8</v>
      </c>
      <c r="B97" s="7">
        <v>2.2821704140000001E-3</v>
      </c>
      <c r="C97" s="7">
        <v>281.60599999999999</v>
      </c>
      <c r="F97" s="7">
        <v>8</v>
      </c>
      <c r="G97" s="1">
        <v>1.6899999999999999E-4</v>
      </c>
      <c r="H97" s="7">
        <v>151.837997</v>
      </c>
      <c r="K97" s="7">
        <v>8</v>
      </c>
      <c r="L97" s="7">
        <v>1.0000000000000001E-5</v>
      </c>
      <c r="M97" s="7">
        <v>407.36</v>
      </c>
      <c r="P97" s="7">
        <v>8</v>
      </c>
      <c r="Q97" s="1">
        <v>1.3257199999999999E-4</v>
      </c>
      <c r="R97" s="7">
        <v>46.704000000000001</v>
      </c>
      <c r="T97" s="3"/>
      <c r="U97" s="7">
        <v>8</v>
      </c>
      <c r="V97" s="7">
        <v>3.212414929E-3</v>
      </c>
      <c r="W97" s="7">
        <v>67.757000210000001</v>
      </c>
      <c r="Z97" s="7">
        <v>8</v>
      </c>
      <c r="AA97" s="1">
        <v>2.3067899999999999E-4</v>
      </c>
      <c r="AB97" s="7">
        <v>15.478</v>
      </c>
    </row>
    <row r="98" spans="1:30">
      <c r="A98" s="7">
        <v>9</v>
      </c>
      <c r="B98" s="7">
        <v>1.4295145639999999E-3</v>
      </c>
      <c r="C98" s="7">
        <v>312.62200000000001</v>
      </c>
      <c r="F98" s="7">
        <v>9</v>
      </c>
      <c r="G98" s="1">
        <v>9.3999999999999994E-5</v>
      </c>
      <c r="H98" s="7">
        <v>196.591995</v>
      </c>
      <c r="K98" s="7">
        <v>9</v>
      </c>
      <c r="L98" s="1">
        <v>9.2446999999999998E-6</v>
      </c>
      <c r="M98" s="7">
        <v>452.995</v>
      </c>
      <c r="P98" s="7">
        <v>9</v>
      </c>
      <c r="Q98" s="1">
        <v>2.99161E-5</v>
      </c>
      <c r="R98" s="7">
        <v>62.841000000000001</v>
      </c>
      <c r="T98" s="3"/>
      <c r="U98" s="7">
        <v>9</v>
      </c>
      <c r="V98" s="7">
        <v>1.4107771E-3</v>
      </c>
      <c r="W98" s="7">
        <v>79.27900004</v>
      </c>
      <c r="Z98" s="7">
        <v>9</v>
      </c>
      <c r="AA98" s="1">
        <v>4.4060100000000002E-5</v>
      </c>
      <c r="AB98" s="7">
        <v>17.943000000000001</v>
      </c>
    </row>
    <row r="99" spans="1:30">
      <c r="A99" s="7">
        <v>10</v>
      </c>
      <c r="B99" s="7">
        <v>8.9000560970000004E-4</v>
      </c>
      <c r="C99" s="7">
        <v>344.36200000000002</v>
      </c>
      <c r="F99" s="7">
        <v>10</v>
      </c>
      <c r="G99" s="1">
        <v>5.1999999999999997E-5</v>
      </c>
      <c r="H99" s="7">
        <v>289.80499300000002</v>
      </c>
      <c r="K99" s="7">
        <v>10</v>
      </c>
      <c r="L99" s="1">
        <v>4.5391000000000003E-6</v>
      </c>
      <c r="M99" s="7">
        <v>494.88200000000001</v>
      </c>
      <c r="P99" s="7">
        <v>10</v>
      </c>
      <c r="Q99" s="1">
        <v>4.3251499999999996E-6</v>
      </c>
      <c r="R99" s="7">
        <v>92.093999999999994</v>
      </c>
      <c r="T99" s="3"/>
      <c r="U99" s="7">
        <v>10</v>
      </c>
      <c r="V99" s="7">
        <v>6.0045987549999999E-4</v>
      </c>
      <c r="W99" s="7">
        <v>94.22900009</v>
      </c>
      <c r="Z99" s="7">
        <v>10</v>
      </c>
      <c r="AA99" s="1">
        <v>6.6499700000000003E-6</v>
      </c>
      <c r="AB99" s="7">
        <v>21.96</v>
      </c>
    </row>
    <row r="100" spans="1:30">
      <c r="A100" s="7">
        <v>11</v>
      </c>
      <c r="B100" s="7">
        <v>5.6485262519999997E-4</v>
      </c>
      <c r="C100" s="7">
        <v>377.036</v>
      </c>
      <c r="F100" s="7">
        <v>11</v>
      </c>
      <c r="G100" s="1">
        <v>2.5999999999999998E-5</v>
      </c>
      <c r="H100" s="7">
        <v>398.57900999999998</v>
      </c>
      <c r="K100" s="7">
        <v>11</v>
      </c>
      <c r="L100" s="1">
        <v>3.4265000000000001E-6</v>
      </c>
      <c r="M100" s="7">
        <v>536.96600000000001</v>
      </c>
      <c r="P100" s="7">
        <v>11</v>
      </c>
      <c r="Q100" s="1">
        <v>4.2076800000000003E-7</v>
      </c>
      <c r="R100" s="7">
        <v>151.24</v>
      </c>
      <c r="T100" s="3"/>
      <c r="U100" s="7">
        <v>11</v>
      </c>
      <c r="V100" s="7">
        <v>2.5504196039999999E-4</v>
      </c>
      <c r="W100" s="7">
        <v>111.0910001</v>
      </c>
      <c r="Z100" s="7">
        <v>11</v>
      </c>
      <c r="AA100" s="1">
        <v>5.5899100000000003E-7</v>
      </c>
      <c r="AB100" s="7">
        <v>28.271999999999998</v>
      </c>
    </row>
    <row r="101" spans="1:30">
      <c r="A101" s="7">
        <v>12</v>
      </c>
      <c r="B101" s="7">
        <v>3.8771238509999997E-4</v>
      </c>
      <c r="C101" s="7">
        <v>410.25299999999999</v>
      </c>
      <c r="F101" s="7">
        <v>12</v>
      </c>
      <c r="G101" s="1">
        <v>1.4E-5</v>
      </c>
      <c r="H101" s="7">
        <v>440.12899800000002</v>
      </c>
      <c r="K101" s="7">
        <v>12</v>
      </c>
      <c r="L101" s="1">
        <v>8.9877999999999995E-7</v>
      </c>
      <c r="M101" s="7">
        <v>578.89499999999998</v>
      </c>
      <c r="P101" s="7">
        <v>12</v>
      </c>
      <c r="Q101" s="1">
        <v>3.9231000000000002E-8</v>
      </c>
      <c r="R101" s="7">
        <v>196.523</v>
      </c>
      <c r="T101" s="3"/>
      <c r="U101" s="7">
        <v>12</v>
      </c>
      <c r="V101" s="1">
        <v>6.3015904239999994E-5</v>
      </c>
      <c r="W101" s="7">
        <v>132.94500020000001</v>
      </c>
      <c r="Z101" s="7">
        <v>12</v>
      </c>
      <c r="AA101" s="1">
        <v>4.8140800000000003E-8</v>
      </c>
      <c r="AB101" s="7">
        <v>35.341000000000001</v>
      </c>
    </row>
    <row r="102" spans="1:30">
      <c r="A102" s="7">
        <v>13</v>
      </c>
      <c r="B102" s="7">
        <v>2.742263848E-4</v>
      </c>
      <c r="C102" s="7">
        <v>444.57600000000002</v>
      </c>
      <c r="F102" s="7">
        <v>13</v>
      </c>
      <c r="G102" s="1">
        <v>6.0000000000000002E-6</v>
      </c>
      <c r="H102" s="7">
        <v>498.756012</v>
      </c>
      <c r="K102" s="7">
        <v>13</v>
      </c>
      <c r="L102" s="1">
        <v>7.7094000000000005E-7</v>
      </c>
      <c r="M102" s="7">
        <v>623.41999999999996</v>
      </c>
      <c r="P102" s="3">
        <v>13</v>
      </c>
      <c r="Q102" s="5">
        <v>3.9991800000000002E-9</v>
      </c>
      <c r="R102" s="3">
        <v>218.74</v>
      </c>
      <c r="T102" s="3"/>
      <c r="U102" s="7">
        <v>13</v>
      </c>
      <c r="V102" s="1">
        <v>2.006123209E-5</v>
      </c>
      <c r="W102" s="7">
        <v>166.9130001</v>
      </c>
      <c r="Z102" s="7">
        <v>13</v>
      </c>
      <c r="AA102" s="1">
        <v>3.8421600000000003E-9</v>
      </c>
      <c r="AB102" s="7">
        <v>42.561</v>
      </c>
    </row>
    <row r="103" spans="1:30">
      <c r="A103" s="7">
        <v>14</v>
      </c>
      <c r="B103" s="7">
        <v>1.492518251E-4</v>
      </c>
      <c r="C103" s="7">
        <v>490.53399999999999</v>
      </c>
      <c r="F103" s="7">
        <v>14</v>
      </c>
      <c r="G103" s="1">
        <v>3.0000000000000001E-6</v>
      </c>
      <c r="H103" s="7">
        <v>625.31298800000002</v>
      </c>
      <c r="K103" s="7">
        <v>14</v>
      </c>
      <c r="L103" s="1">
        <v>4.0334000000000001E-7</v>
      </c>
      <c r="M103" s="7">
        <v>660.96799999999996</v>
      </c>
      <c r="P103" s="3">
        <v>14</v>
      </c>
      <c r="Q103" s="5">
        <v>4.5889700000000001E-10</v>
      </c>
      <c r="R103" s="3">
        <v>291.29300000000001</v>
      </c>
      <c r="U103" s="7">
        <v>14</v>
      </c>
      <c r="V103" s="1">
        <v>4.3388950010000001E-6</v>
      </c>
      <c r="W103" s="7">
        <v>202.8530002</v>
      </c>
      <c r="Z103" s="7">
        <v>14</v>
      </c>
      <c r="AA103" s="1">
        <v>3.8054100000000002E-10</v>
      </c>
      <c r="AB103" s="7">
        <v>50.892000000000003</v>
      </c>
    </row>
    <row r="104" spans="1:30">
      <c r="A104" s="7">
        <v>15</v>
      </c>
      <c r="B104" s="1">
        <v>7.2463237630000001E-5</v>
      </c>
      <c r="C104" s="7">
        <v>550.00900000000001</v>
      </c>
      <c r="F104" s="7">
        <v>15</v>
      </c>
      <c r="G104" s="1">
        <v>1.9999999999999999E-6</v>
      </c>
      <c r="H104" s="7">
        <v>885.81500200000005</v>
      </c>
      <c r="K104" s="7">
        <v>15</v>
      </c>
      <c r="L104" s="1">
        <v>1.2830999999999999E-7</v>
      </c>
      <c r="M104" s="7">
        <v>707.553</v>
      </c>
      <c r="P104" s="3">
        <v>15</v>
      </c>
      <c r="Q104" s="5">
        <v>4.5072200000000003E-11</v>
      </c>
      <c r="R104" s="3">
        <v>368.78</v>
      </c>
      <c r="T104" s="3"/>
      <c r="U104" s="7">
        <v>15</v>
      </c>
      <c r="V104" s="1">
        <v>5.1153098799999996E-7</v>
      </c>
      <c r="W104" s="7">
        <v>245.7640002</v>
      </c>
      <c r="Z104" s="7">
        <v>15</v>
      </c>
      <c r="AA104" s="1">
        <v>3.4464900000000001E-11</v>
      </c>
      <c r="AB104" s="7">
        <v>58.921999999999997</v>
      </c>
    </row>
    <row r="105" spans="1:30">
      <c r="A105" s="7">
        <v>16</v>
      </c>
      <c r="B105" s="1">
        <v>3.3128569630000001E-5</v>
      </c>
      <c r="C105" s="7">
        <v>624.31899999999996</v>
      </c>
      <c r="F105" s="7">
        <v>16</v>
      </c>
      <c r="G105" s="1">
        <v>1.1999999999999999E-6</v>
      </c>
      <c r="H105" s="7">
        <v>1186.6099850000001</v>
      </c>
      <c r="K105" s="7">
        <v>16</v>
      </c>
      <c r="L105" s="1">
        <v>2.5764999999999998E-7</v>
      </c>
      <c r="M105" s="7">
        <v>750.10799999999995</v>
      </c>
      <c r="P105" s="7">
        <v>16</v>
      </c>
      <c r="Q105" s="1">
        <v>4.1391899999999999E-12</v>
      </c>
      <c r="R105" s="7">
        <v>505.21499999999997</v>
      </c>
      <c r="T105" s="3"/>
      <c r="U105" s="7">
        <v>16</v>
      </c>
      <c r="V105" s="1">
        <v>4.5354990760000002E-8</v>
      </c>
      <c r="W105" s="7">
        <v>308.35100010000002</v>
      </c>
      <c r="Z105" s="7">
        <v>16</v>
      </c>
      <c r="AA105" s="1">
        <v>2.92485E-12</v>
      </c>
      <c r="AB105" s="7">
        <v>67.95</v>
      </c>
      <c r="AD105" s="2"/>
    </row>
    <row r="106" spans="1:30">
      <c r="A106" s="7">
        <v>17</v>
      </c>
      <c r="B106" s="1">
        <v>1.720554921E-5</v>
      </c>
      <c r="C106" s="7">
        <v>703.55499999999995</v>
      </c>
      <c r="F106" s="7">
        <v>17</v>
      </c>
      <c r="G106" s="1">
        <v>5.2E-7</v>
      </c>
      <c r="H106" s="7">
        <v>1601.655029</v>
      </c>
      <c r="K106" s="7">
        <v>17</v>
      </c>
      <c r="L106" s="1">
        <v>1.5333000000000001E-7</v>
      </c>
      <c r="M106" s="7">
        <v>793.41200000000003</v>
      </c>
      <c r="P106" s="7">
        <v>17</v>
      </c>
      <c r="Q106" s="1">
        <v>3.9112599999999998E-13</v>
      </c>
      <c r="R106" s="7">
        <v>580.39099999999996</v>
      </c>
      <c r="T106" s="3"/>
      <c r="U106" s="7">
        <v>17</v>
      </c>
      <c r="V106" s="1">
        <v>4.4027496089999999E-9</v>
      </c>
      <c r="W106" s="7">
        <v>479.94099999999997</v>
      </c>
      <c r="Z106" s="7">
        <v>17</v>
      </c>
      <c r="AA106" s="1">
        <v>2.49984E-13</v>
      </c>
      <c r="AB106" s="6">
        <v>79.069000000000003</v>
      </c>
    </row>
    <row r="107" spans="1:30">
      <c r="A107" s="7">
        <v>18</v>
      </c>
      <c r="B107" s="1">
        <v>9.1233939399999994E-6</v>
      </c>
      <c r="C107" s="7">
        <v>786.12900000000002</v>
      </c>
      <c r="F107" s="7">
        <v>18</v>
      </c>
      <c r="G107" s="1">
        <v>7.3327040000000005E-8</v>
      </c>
      <c r="H107" s="7">
        <v>1931.5379640000001</v>
      </c>
      <c r="K107" s="7">
        <v>18</v>
      </c>
      <c r="L107" s="1">
        <v>1.4497999999999999E-7</v>
      </c>
      <c r="M107" s="7">
        <v>806.25199999999995</v>
      </c>
      <c r="T107" s="3"/>
      <c r="U107" s="7">
        <v>18</v>
      </c>
      <c r="V107" s="1">
        <v>1.1277185849999999E-9</v>
      </c>
      <c r="W107" s="7">
        <v>688.73299999999995</v>
      </c>
    </row>
    <row r="108" spans="1:30">
      <c r="A108" s="7">
        <v>19</v>
      </c>
      <c r="B108" s="1">
        <v>6.1837615860000002E-6</v>
      </c>
      <c r="C108" s="7">
        <v>858.46500000000003</v>
      </c>
      <c r="F108" s="7">
        <v>19</v>
      </c>
      <c r="G108" s="1">
        <v>1.081781E-8</v>
      </c>
      <c r="H108" s="7">
        <v>2095.201904</v>
      </c>
      <c r="K108" s="7">
        <v>19</v>
      </c>
      <c r="L108" s="1">
        <v>1.2130999999999999E-7</v>
      </c>
      <c r="M108" s="7">
        <v>819.15899999999999</v>
      </c>
      <c r="U108" s="7">
        <v>19</v>
      </c>
      <c r="V108" s="1">
        <v>3.6498493120000002E-10</v>
      </c>
      <c r="W108" s="7">
        <v>928.85700010000005</v>
      </c>
    </row>
    <row r="109" spans="1:30">
      <c r="A109" s="7">
        <v>20</v>
      </c>
      <c r="B109" s="1">
        <v>3.6669492069999999E-6</v>
      </c>
      <c r="C109" s="7">
        <v>931.83600000000001</v>
      </c>
      <c r="F109" s="7">
        <v>20</v>
      </c>
      <c r="G109" s="1">
        <v>4.0891890000000001E-9</v>
      </c>
      <c r="H109" s="7">
        <v>2313.5639649999998</v>
      </c>
      <c r="K109" s="7">
        <v>20</v>
      </c>
      <c r="L109" s="1">
        <v>1.205E-7</v>
      </c>
      <c r="M109" s="7">
        <v>832.11900000000003</v>
      </c>
      <c r="U109" s="7">
        <v>20</v>
      </c>
      <c r="V109" s="1">
        <v>1.1961887039999999E-10</v>
      </c>
      <c r="W109" s="7">
        <v>1177.3689999999999</v>
      </c>
    </row>
    <row r="110" spans="1:30">
      <c r="A110" s="7">
        <v>21</v>
      </c>
      <c r="B110" s="1">
        <v>1.217321807E-6</v>
      </c>
      <c r="C110" s="7">
        <v>1076.7809999999999</v>
      </c>
      <c r="F110" s="7">
        <v>21</v>
      </c>
      <c r="G110" s="1">
        <v>3.062279E-9</v>
      </c>
      <c r="H110" s="7">
        <v>2505.7871089999999</v>
      </c>
      <c r="K110" s="7">
        <v>21</v>
      </c>
      <c r="L110" s="1">
        <v>1.9064000000000001E-8</v>
      </c>
      <c r="M110" s="7">
        <v>845.04600000000005</v>
      </c>
    </row>
    <row r="111" spans="1:30">
      <c r="A111" s="7">
        <v>22</v>
      </c>
      <c r="B111" s="1">
        <v>4.2837714120000002E-7</v>
      </c>
      <c r="C111" s="7">
        <v>1262.723</v>
      </c>
      <c r="F111" s="7">
        <v>22</v>
      </c>
      <c r="G111" s="1">
        <v>2.848649E-11</v>
      </c>
      <c r="H111" s="3">
        <v>2742.6840820000002</v>
      </c>
      <c r="K111" s="7">
        <v>22</v>
      </c>
      <c r="L111" s="1">
        <v>6.5480000000000001E-9</v>
      </c>
      <c r="M111" s="7">
        <v>858.01099999999997</v>
      </c>
    </row>
    <row r="112" spans="1:30">
      <c r="A112" s="7">
        <v>23</v>
      </c>
      <c r="B112" s="1">
        <v>1.4701859510000001E-7</v>
      </c>
      <c r="C112" s="7">
        <v>1461.7750000000001</v>
      </c>
      <c r="K112" s="7">
        <v>23</v>
      </c>
      <c r="L112" s="1">
        <v>2.2227999999999998E-9</v>
      </c>
      <c r="M112" s="7">
        <v>871.12900000000002</v>
      </c>
    </row>
    <row r="113" spans="1:13">
      <c r="A113" s="7">
        <v>24</v>
      </c>
      <c r="B113" s="1">
        <v>5.3065579040000001E-8</v>
      </c>
      <c r="C113" s="7">
        <v>1677.2529999999999</v>
      </c>
      <c r="K113" s="7">
        <v>24</v>
      </c>
      <c r="L113" s="1">
        <v>1.0538E-9</v>
      </c>
      <c r="M113" s="7">
        <v>884.44399999999996</v>
      </c>
    </row>
    <row r="114" spans="1:13">
      <c r="A114" s="7">
        <v>25</v>
      </c>
      <c r="B114" s="1">
        <v>1.8429128E-8</v>
      </c>
      <c r="C114" s="7">
        <v>1928.9259999999999</v>
      </c>
      <c r="K114" s="7">
        <v>25</v>
      </c>
      <c r="L114" s="1">
        <v>6.9622E-10</v>
      </c>
      <c r="M114" s="7">
        <v>897.89200000000005</v>
      </c>
    </row>
    <row r="115" spans="1:13">
      <c r="A115" s="7">
        <v>26</v>
      </c>
      <c r="B115" s="1">
        <v>5.5411449870000002E-9</v>
      </c>
      <c r="C115" s="7">
        <v>2188.471</v>
      </c>
      <c r="K115" s="7">
        <v>26</v>
      </c>
      <c r="L115" s="1">
        <v>4.8957999999999998E-10</v>
      </c>
      <c r="M115" s="7">
        <v>911.33299999999997</v>
      </c>
    </row>
    <row r="116" spans="1:13">
      <c r="A116" s="7">
        <v>27</v>
      </c>
      <c r="B116" s="1">
        <v>1.966597551E-9</v>
      </c>
      <c r="C116" s="7">
        <v>2536.8719999999998</v>
      </c>
      <c r="K116" s="7">
        <v>27</v>
      </c>
      <c r="L116" s="1">
        <v>4.6463E-11</v>
      </c>
      <c r="M116" s="7">
        <v>924.66</v>
      </c>
    </row>
    <row r="117" spans="1:13">
      <c r="A117" s="7">
        <v>28</v>
      </c>
      <c r="B117" s="1">
        <v>4.7528081470000005E-10</v>
      </c>
      <c r="C117" s="7">
        <v>2725.3719999999998</v>
      </c>
      <c r="K117" s="7">
        <v>28</v>
      </c>
      <c r="L117" s="1">
        <v>2.7154999999999999E-12</v>
      </c>
      <c r="M117" s="7">
        <v>938.13400000000001</v>
      </c>
    </row>
    <row r="118" spans="1:13">
      <c r="A118" s="7">
        <v>29</v>
      </c>
      <c r="B118" s="1">
        <v>1.1828171780000001E-10</v>
      </c>
      <c r="C118" s="7">
        <v>2906.9830000000002</v>
      </c>
      <c r="K118" s="7">
        <v>29</v>
      </c>
      <c r="L118" s="1">
        <v>3.491E-13</v>
      </c>
      <c r="M118" s="7">
        <v>954.24199999999996</v>
      </c>
    </row>
    <row r="119" spans="1:13">
      <c r="A119" s="7">
        <v>30</v>
      </c>
      <c r="B119" s="1">
        <v>3.2921221299999998E-11</v>
      </c>
      <c r="C119" s="7">
        <v>3093.5160000000001</v>
      </c>
    </row>
    <row r="120" spans="1:13">
      <c r="A120" s="7">
        <v>31</v>
      </c>
      <c r="B120" s="1">
        <v>1.3055556640000001E-11</v>
      </c>
      <c r="C120" s="7">
        <v>3283.5880000000002</v>
      </c>
    </row>
  </sheetData>
  <mergeCells count="28">
    <mergeCell ref="A1:AC1"/>
    <mergeCell ref="A2:C2"/>
    <mergeCell ref="F2:H2"/>
    <mergeCell ref="K2:M2"/>
    <mergeCell ref="A66:AC66"/>
    <mergeCell ref="A67:C67"/>
    <mergeCell ref="F67:H67"/>
    <mergeCell ref="K67:M67"/>
    <mergeCell ref="A44:AC44"/>
    <mergeCell ref="P2:R2"/>
    <mergeCell ref="U2:W2"/>
    <mergeCell ref="Z2:AB2"/>
    <mergeCell ref="A45:C45"/>
    <mergeCell ref="F45:H45"/>
    <mergeCell ref="K45:M45"/>
    <mergeCell ref="P45:R45"/>
    <mergeCell ref="U45:W45"/>
    <mergeCell ref="Z45:AB45"/>
    <mergeCell ref="P67:R67"/>
    <mergeCell ref="U67:W67"/>
    <mergeCell ref="Z67:AB67"/>
    <mergeCell ref="Z87:AB87"/>
    <mergeCell ref="A86:AC86"/>
    <mergeCell ref="A87:C87"/>
    <mergeCell ref="F87:H87"/>
    <mergeCell ref="K87:M87"/>
    <mergeCell ref="P87:R87"/>
    <mergeCell ref="U87:W8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Fig. 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YiC Zhang</dc:creator>
  <cp:lastModifiedBy>凯 张</cp:lastModifiedBy>
  <cp:lastPrinted>2024-05-06T05:59:15Z</cp:lastPrinted>
  <dcterms:created xsi:type="dcterms:W3CDTF">2015-06-05T18:19:34Z</dcterms:created>
  <dcterms:modified xsi:type="dcterms:W3CDTF">2026-07-24T02:37:06Z</dcterms:modified>
</cp:coreProperties>
</file>