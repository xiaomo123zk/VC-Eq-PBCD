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fdbd29c202a014e/07_写论文/15-OD分组-相似度-顶点着色-partC-doing/26-勘误/"/>
    </mc:Choice>
  </mc:AlternateContent>
  <xr:revisionPtr revIDLastSave="9" documentId="8_{71BEE8A4-DEA3-47AE-949F-AA6414EF29DF}" xr6:coauthVersionLast="47" xr6:coauthVersionMax="47" xr10:uidLastSave="{7A8950ED-944F-42B7-AF63-AC87F988976E}"/>
  <bookViews>
    <workbookView xWindow="-120" yWindow="-120" windowWidth="29040" windowHeight="15720" xr2:uid="{019C84A6-D218-4EFB-8E33-32BEB994DC88}"/>
  </bookViews>
  <sheets>
    <sheet name="Fig. 15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38" l="1"/>
  <c r="D5" i="38"/>
  <c r="D4" i="38"/>
</calcChain>
</file>

<file path=xl/sharedStrings.xml><?xml version="1.0" encoding="utf-8"?>
<sst xmlns="http://schemas.openxmlformats.org/spreadsheetml/2006/main" count="65" uniqueCount="12">
  <si>
    <t>RG</t>
  </si>
  <si>
    <t>used time</t>
  </si>
  <si>
    <t xml:space="preserve"> </t>
  </si>
  <si>
    <t>Anaheim</t>
  </si>
  <si>
    <t>Overlap&gt;0.9</t>
  </si>
  <si>
    <t>Overlap&gt;0.7</t>
  </si>
  <si>
    <t>Overlap&gt;0.8</t>
  </si>
  <si>
    <t>obj</t>
  </si>
  <si>
    <t>iter</t>
  </si>
  <si>
    <t xml:space="preserve">Chicago-Sketch </t>
  </si>
  <si>
    <t>Birmingham</t>
  </si>
  <si>
    <t>Philadelphia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</si>
</sst>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7" fillId="0" borderId="0" applyNumberFormat="0" applyFill="0" applyBorder="0" applyAlignment="0" applyProtection="0"/>
    <xf numFmtId="0" fontId="4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3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Font="1"/>
    <xf numFmtId="11" fontId="0" fillId="0" borderId="0" xfId="0" applyNumberFormat="1" applyFill="1"/>
    <xf numFmtId="0" fontId="0" fillId="0" borderId="0" xfId="0" applyFill="1"/>
    <xf numFmtId="11" fontId="0" fillId="0" borderId="0" xfId="0" applyNumberFormat="1" applyFont="1" applyFill="1"/>
    <xf numFmtId="0" fontId="0" fillId="0" borderId="0" xfId="0" applyFont="1" applyFill="1"/>
    <xf numFmtId="11" fontId="0" fillId="0" borderId="0" xfId="0" applyNumberFormat="1" applyAlignment="1">
      <alignment horizontal="center"/>
    </xf>
    <xf numFmtId="0" fontId="0" fillId="0" borderId="0" xfId="0"/>
    <xf numFmtId="0" fontId="0" fillId="0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60">
    <cellStyle name="20% - 着色 1" xfId="19" builtinId="30" customBuiltin="1"/>
    <cellStyle name="20% - 着色 1 2" xfId="42" xr:uid="{D92CAA67-DF26-4B0F-9FAB-EEE60E880ACD}"/>
    <cellStyle name="20% - 着色 2" xfId="23" builtinId="34" customBuiltin="1"/>
    <cellStyle name="20% - 着色 2 2" xfId="45" xr:uid="{57F7D461-CAAC-496E-B2DE-898158217CD0}"/>
    <cellStyle name="20% - 着色 3" xfId="27" builtinId="38" customBuiltin="1"/>
    <cellStyle name="20% - 着色 3 2" xfId="48" xr:uid="{6A6F7758-8364-49D7-8B34-EACAF12C44E6}"/>
    <cellStyle name="20% - 着色 4" xfId="31" builtinId="42" customBuiltin="1"/>
    <cellStyle name="20% - 着色 4 2" xfId="51" xr:uid="{A7415D33-7D4A-4985-B74D-9E7DA8376D66}"/>
    <cellStyle name="20% - 着色 5" xfId="35" builtinId="46" customBuiltin="1"/>
    <cellStyle name="20% - 着色 5 2" xfId="54" xr:uid="{F2D31BB0-9A35-4B70-BE40-73E52FDDB3C4}"/>
    <cellStyle name="20% - 着色 6" xfId="39" builtinId="50" customBuiltin="1"/>
    <cellStyle name="20% - 着色 6 2" xfId="57" xr:uid="{569EED3F-EEB4-48BD-AB39-40AA013D0112}"/>
    <cellStyle name="40% - 着色 1" xfId="20" builtinId="31" customBuiltin="1"/>
    <cellStyle name="40% - 着色 1 2" xfId="43" xr:uid="{4259CE10-A135-4CD7-92A1-5FEF2829FC90}"/>
    <cellStyle name="40% - 着色 2" xfId="24" builtinId="35" customBuiltin="1"/>
    <cellStyle name="40% - 着色 2 2" xfId="46" xr:uid="{360D0BAF-610C-4FCD-8B86-1292B2BC6B7C}"/>
    <cellStyle name="40% - 着色 3" xfId="28" builtinId="39" customBuiltin="1"/>
    <cellStyle name="40% - 着色 3 2" xfId="49" xr:uid="{DE6874DD-F164-45D5-A9E2-68AC7C3A8FF9}"/>
    <cellStyle name="40% - 着色 4" xfId="32" builtinId="43" customBuiltin="1"/>
    <cellStyle name="40% - 着色 4 2" xfId="52" xr:uid="{08180016-1C84-4219-B50A-50151F3BF6B1}"/>
    <cellStyle name="40% - 着色 5" xfId="36" builtinId="47" customBuiltin="1"/>
    <cellStyle name="40% - 着色 5 2" xfId="55" xr:uid="{45AD561C-A33F-4ECF-9368-2AFEEBA3F46F}"/>
    <cellStyle name="40% - 着色 6" xfId="40" builtinId="51" customBuiltin="1"/>
    <cellStyle name="40% - 着色 6 2" xfId="58" xr:uid="{7E83857B-F917-4E06-8C51-716BE417AC95}"/>
    <cellStyle name="60% - 着色 1" xfId="21" builtinId="32" customBuiltin="1"/>
    <cellStyle name="60% - 着色 1 2" xfId="44" xr:uid="{3D6F067C-A086-44D6-9423-36801C4CF1D2}"/>
    <cellStyle name="60% - 着色 2" xfId="25" builtinId="36" customBuiltin="1"/>
    <cellStyle name="60% - 着色 2 2" xfId="47" xr:uid="{3A340596-EAB5-4FDA-9189-DA11ED8B953C}"/>
    <cellStyle name="60% - 着色 3" xfId="29" builtinId="40" customBuiltin="1"/>
    <cellStyle name="60% - 着色 3 2" xfId="50" xr:uid="{92C896C7-2DA5-4291-8490-FC866EE68E2A}"/>
    <cellStyle name="60% - 着色 4" xfId="33" builtinId="44" customBuiltin="1"/>
    <cellStyle name="60% - 着色 4 2" xfId="53" xr:uid="{8FCE5309-3129-465E-933A-6ABCD17100C4}"/>
    <cellStyle name="60% - 着色 5" xfId="37" builtinId="48" customBuiltin="1"/>
    <cellStyle name="60% - 着色 5 2" xfId="56" xr:uid="{AC0E880C-7862-4D3A-8F09-EDB19547E858}"/>
    <cellStyle name="60% - 着色 6" xfId="41" builtinId="52" customBuiltin="1"/>
    <cellStyle name="60% - 着色 6 2" xfId="59" xr:uid="{A606D29E-8B09-48CA-8742-C7D2572D38B1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Ana- 20250803</a:t>
            </a:r>
            <a:endParaRPr lang="en-US"/>
          </a:p>
        </c:rich>
      </c:tx>
      <c:layout>
        <c:manualLayout>
          <c:xMode val="edge"/>
          <c:yMode val="edge"/>
          <c:x val="0.4784166275554414"/>
          <c:y val="4.2661082635171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75186258699761"/>
          <c:y val="8.5652810046468672E-2"/>
          <c:w val="0.83152200239848995"/>
          <c:h val="0.782088214340124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'Fig. 15'!$A$2</c:f>
              <c:strCache>
                <c:ptCount val="1"/>
                <c:pt idx="0">
                  <c:v>Overlap&gt;0.7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'Fig. 15'!$D$4:$D$17</c:f>
              <c:numCache>
                <c:formatCode>General</c:formatCode>
                <c:ptCount val="14"/>
                <c:pt idx="0">
                  <c:v>2.7499999999999998E-3</c:v>
                </c:pt>
                <c:pt idx="1">
                  <c:v>5.4999999999999997E-3</c:v>
                </c:pt>
                <c:pt idx="2">
                  <c:v>8.2500000000000004E-3</c:v>
                </c:pt>
                <c:pt idx="3">
                  <c:v>1.0999999999999999E-2</c:v>
                </c:pt>
                <c:pt idx="4">
                  <c:v>1.0999999999999999E-2</c:v>
                </c:pt>
                <c:pt idx="5">
                  <c:v>1.0999999999999999E-2</c:v>
                </c:pt>
                <c:pt idx="6">
                  <c:v>4.4999999999999998E-2</c:v>
                </c:pt>
                <c:pt idx="7">
                  <c:v>0.06</c:v>
                </c:pt>
                <c:pt idx="8">
                  <c:v>7.8E-2</c:v>
                </c:pt>
                <c:pt idx="9">
                  <c:v>9.4E-2</c:v>
                </c:pt>
                <c:pt idx="10">
                  <c:v>0.127</c:v>
                </c:pt>
                <c:pt idx="11">
                  <c:v>0.158</c:v>
                </c:pt>
                <c:pt idx="12">
                  <c:v>0.17399999999999999</c:v>
                </c:pt>
                <c:pt idx="13">
                  <c:v>0.20499999999999999</c:v>
                </c:pt>
              </c:numCache>
            </c:numRef>
          </c:xVal>
          <c:yVal>
            <c:numRef>
              <c:f>'Fig. 15'!$C$4:$C$17</c:f>
              <c:numCache>
                <c:formatCode>0.00E+00</c:formatCode>
                <c:ptCount val="14"/>
                <c:pt idx="0" formatCode="General">
                  <c:v>2.4220605020000001E-2</c:v>
                </c:pt>
                <c:pt idx="1">
                  <c:v>6.1339900000000004E-4</c:v>
                </c:pt>
                <c:pt idx="2">
                  <c:v>3.9530599999999997E-5</c:v>
                </c:pt>
                <c:pt idx="3">
                  <c:v>1.21774E-5</c:v>
                </c:pt>
                <c:pt idx="4">
                  <c:v>2.5749600000000001E-6</c:v>
                </c:pt>
                <c:pt idx="5">
                  <c:v>5.5979799999999997E-7</c:v>
                </c:pt>
                <c:pt idx="6">
                  <c:v>1.4852699999999999E-7</c:v>
                </c:pt>
                <c:pt idx="7">
                  <c:v>4.9499199999999998E-9</c:v>
                </c:pt>
                <c:pt idx="8">
                  <c:v>2.4123999999999999E-10</c:v>
                </c:pt>
                <c:pt idx="9">
                  <c:v>3.2162299999999998E-11</c:v>
                </c:pt>
                <c:pt idx="10">
                  <c:v>9.9090399999999995E-12</c:v>
                </c:pt>
                <c:pt idx="11">
                  <c:v>3.42842E-12</c:v>
                </c:pt>
                <c:pt idx="12">
                  <c:v>1.1973600000000001E-12</c:v>
                </c:pt>
                <c:pt idx="13">
                  <c:v>4.1898599999999998E-13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9-45A1-A2A5-BB7315558D64}"/>
            </c:ext>
          </c:extLst>
        </c:ser>
        <c:ser>
          <c:idx val="4"/>
          <c:order val="1"/>
          <c:tx>
            <c:strRef>
              <c:f>'Fig. 15'!$F$2:$I$2</c:f>
              <c:strCache>
                <c:ptCount val="1"/>
                <c:pt idx="0">
                  <c:v>Overlap&gt;0.8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15'!$I$4:$I$19</c:f>
              <c:numCache>
                <c:formatCode>General</c:formatCode>
                <c:ptCount val="16"/>
                <c:pt idx="0">
                  <c:v>1.0001659390000001E-3</c:v>
                </c:pt>
                <c:pt idx="1">
                  <c:v>6.0000000000000001E-3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1.9E-2</c:v>
                </c:pt>
                <c:pt idx="5">
                  <c:v>0.03</c:v>
                </c:pt>
                <c:pt idx="6">
                  <c:v>4.9000000000000002E-2</c:v>
                </c:pt>
                <c:pt idx="7">
                  <c:v>6.8000000000000005E-2</c:v>
                </c:pt>
                <c:pt idx="8">
                  <c:v>8.6999999999999994E-2</c:v>
                </c:pt>
                <c:pt idx="9">
                  <c:v>0.104</c:v>
                </c:pt>
                <c:pt idx="10">
                  <c:v>0.122</c:v>
                </c:pt>
                <c:pt idx="11">
                  <c:v>0.13900000000000001</c:v>
                </c:pt>
                <c:pt idx="12">
                  <c:v>0.16700000000000001</c:v>
                </c:pt>
                <c:pt idx="13">
                  <c:v>0.185</c:v>
                </c:pt>
                <c:pt idx="14">
                  <c:v>0.20300000000000001</c:v>
                </c:pt>
                <c:pt idx="15">
                  <c:v>0.22</c:v>
                </c:pt>
              </c:numCache>
            </c:numRef>
          </c:xVal>
          <c:yVal>
            <c:numRef>
              <c:f>'Fig. 15'!$H$4:$H$19</c:f>
              <c:numCache>
                <c:formatCode>0.00E+00</c:formatCode>
                <c:ptCount val="16"/>
                <c:pt idx="0" formatCode="General">
                  <c:v>2.4220605020000001E-2</c:v>
                </c:pt>
                <c:pt idx="1">
                  <c:v>9.8099699999999995E-4</c:v>
                </c:pt>
                <c:pt idx="2">
                  <c:v>1.3997200000000001E-4</c:v>
                </c:pt>
                <c:pt idx="3">
                  <c:v>6.0950500000000002E-6</c:v>
                </c:pt>
                <c:pt idx="4">
                  <c:v>7.88897E-7</c:v>
                </c:pt>
                <c:pt idx="5">
                  <c:v>1.17884E-7</c:v>
                </c:pt>
                <c:pt idx="6">
                  <c:v>4.6145699999999997E-9</c:v>
                </c:pt>
                <c:pt idx="7">
                  <c:v>3.3470499999999998E-10</c:v>
                </c:pt>
                <c:pt idx="8">
                  <c:v>1.05246E-10</c:v>
                </c:pt>
                <c:pt idx="9">
                  <c:v>5.0850200000000003E-11</c:v>
                </c:pt>
                <c:pt idx="10">
                  <c:v>2.6027199999999999E-11</c:v>
                </c:pt>
                <c:pt idx="11">
                  <c:v>1.33603E-11</c:v>
                </c:pt>
                <c:pt idx="12">
                  <c:v>6.8910899999999999E-12</c:v>
                </c:pt>
                <c:pt idx="13">
                  <c:v>3.5386500000000001E-12</c:v>
                </c:pt>
                <c:pt idx="14">
                  <c:v>1.81758E-12</c:v>
                </c:pt>
                <c:pt idx="15">
                  <c:v>9.382239999999999E-13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59-45A1-A2A5-BB7315558D64}"/>
            </c:ext>
          </c:extLst>
        </c:ser>
        <c:ser>
          <c:idx val="2"/>
          <c:order val="2"/>
          <c:tx>
            <c:strRef>
              <c:f>'Fig. 15'!$K$2:$N$2</c:f>
              <c:strCache>
                <c:ptCount val="1"/>
                <c:pt idx="0">
                  <c:v>Overlap&gt;0.9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15'!$N$4:$N$19</c:f>
              <c:numCache>
                <c:formatCode>General</c:formatCode>
                <c:ptCount val="16"/>
                <c:pt idx="0">
                  <c:v>9.9992752079999998E-4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1.7000000000000001E-2</c:v>
                </c:pt>
                <c:pt idx="7">
                  <c:v>1.7999999999999999E-2</c:v>
                </c:pt>
                <c:pt idx="8">
                  <c:v>3.4000000000000002E-2</c:v>
                </c:pt>
                <c:pt idx="9">
                  <c:v>0.04</c:v>
                </c:pt>
                <c:pt idx="10">
                  <c:v>6.0999999999999999E-2</c:v>
                </c:pt>
                <c:pt idx="11">
                  <c:v>7.4999999999999997E-2</c:v>
                </c:pt>
                <c:pt idx="12">
                  <c:v>8.2000000000000003E-2</c:v>
                </c:pt>
                <c:pt idx="13">
                  <c:v>9.8000000000000004E-2</c:v>
                </c:pt>
                <c:pt idx="14">
                  <c:v>0.114</c:v>
                </c:pt>
                <c:pt idx="15">
                  <c:v>0.129</c:v>
                </c:pt>
              </c:numCache>
            </c:numRef>
          </c:xVal>
          <c:yVal>
            <c:numRef>
              <c:f>'Fig. 15'!$M$4:$M$19</c:f>
              <c:numCache>
                <c:formatCode>0.00E+00</c:formatCode>
                <c:ptCount val="16"/>
                <c:pt idx="0" formatCode="General">
                  <c:v>2.4220605020000001E-2</c:v>
                </c:pt>
                <c:pt idx="1">
                  <c:v>9.6596900000000001E-4</c:v>
                </c:pt>
                <c:pt idx="2">
                  <c:v>8.3036799999999998E-5</c:v>
                </c:pt>
                <c:pt idx="3">
                  <c:v>3.3151700000000003E-5</c:v>
                </c:pt>
                <c:pt idx="4">
                  <c:v>1.0136700000000001E-5</c:v>
                </c:pt>
                <c:pt idx="5">
                  <c:v>2.4218599999999998E-6</c:v>
                </c:pt>
                <c:pt idx="6">
                  <c:v>6.16176E-7</c:v>
                </c:pt>
                <c:pt idx="7">
                  <c:v>4.4703299999999998E-7</c:v>
                </c:pt>
                <c:pt idx="8">
                  <c:v>1.4219500000000001E-7</c:v>
                </c:pt>
                <c:pt idx="9">
                  <c:v>6.0246000000000001E-9</c:v>
                </c:pt>
                <c:pt idx="10">
                  <c:v>3.0228899999999999E-10</c:v>
                </c:pt>
                <c:pt idx="11">
                  <c:v>3.2172699999999998E-11</c:v>
                </c:pt>
                <c:pt idx="12">
                  <c:v>8.8955900000000001E-12</c:v>
                </c:pt>
                <c:pt idx="13">
                  <c:v>3.0111800000000001E-12</c:v>
                </c:pt>
                <c:pt idx="14">
                  <c:v>1.04826E-12</c:v>
                </c:pt>
                <c:pt idx="15">
                  <c:v>4.0092499999999998E-13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59-45A1-A2A5-BB7315558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1478193728970585"/>
          <c:y val="0.10639998444211582"/>
          <c:w val="0.2232494960016182"/>
          <c:h val="0.12787687266204684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CS- 20250803</a:t>
            </a:r>
            <a:endParaRPr lang="en-US"/>
          </a:p>
        </c:rich>
      </c:tx>
      <c:layout>
        <c:manualLayout>
          <c:xMode val="edge"/>
          <c:yMode val="edge"/>
          <c:x val="0.4784166275554414"/>
          <c:y val="4.2661082635171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12996256329622"/>
          <c:y val="9.6778098844073734E-2"/>
          <c:w val="0.83152200239848995"/>
          <c:h val="0.782088214340124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'Fig. 15'!$Q$2:$T$2</c:f>
              <c:strCache>
                <c:ptCount val="1"/>
                <c:pt idx="0">
                  <c:v>Overlap&gt;0.7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'Fig. 15'!$T$4:$T$20</c:f>
              <c:numCache>
                <c:formatCode>General</c:formatCode>
                <c:ptCount val="17"/>
                <c:pt idx="0">
                  <c:v>3.8000106810000003E-2</c:v>
                </c:pt>
                <c:pt idx="1">
                  <c:v>8.300018311E-2</c:v>
                </c:pt>
                <c:pt idx="2">
                  <c:v>0.1160001755</c:v>
                </c:pt>
                <c:pt idx="3">
                  <c:v>0.15000009540000001</c:v>
                </c:pt>
                <c:pt idx="4">
                  <c:v>0.17900013919999999</c:v>
                </c:pt>
                <c:pt idx="5">
                  <c:v>0.21600008009999999</c:v>
                </c:pt>
                <c:pt idx="6">
                  <c:v>0.25400018689999998</c:v>
                </c:pt>
                <c:pt idx="7">
                  <c:v>0.28800010679999999</c:v>
                </c:pt>
                <c:pt idx="8">
                  <c:v>0.32599997520000001</c:v>
                </c:pt>
                <c:pt idx="9">
                  <c:v>0.36199998859999999</c:v>
                </c:pt>
                <c:pt idx="10">
                  <c:v>0.40000009539999998</c:v>
                </c:pt>
                <c:pt idx="11">
                  <c:v>0.43400001529999999</c:v>
                </c:pt>
                <c:pt idx="12">
                  <c:v>0.47000002860000001</c:v>
                </c:pt>
                <c:pt idx="13">
                  <c:v>0.51600003240000003</c:v>
                </c:pt>
                <c:pt idx="14">
                  <c:v>0.55900001529999999</c:v>
                </c:pt>
                <c:pt idx="15">
                  <c:v>0.60600018499999997</c:v>
                </c:pt>
                <c:pt idx="16">
                  <c:v>0.65100002290000003</c:v>
                </c:pt>
              </c:numCache>
            </c:numRef>
          </c:xVal>
          <c:yVal>
            <c:numRef>
              <c:f>'Fig. 15'!$S$4:$S$20</c:f>
              <c:numCache>
                <c:formatCode>General</c:formatCode>
                <c:ptCount val="17"/>
                <c:pt idx="0">
                  <c:v>0.83635351250000001</c:v>
                </c:pt>
                <c:pt idx="1">
                  <c:v>2.9557202500000001E-2</c:v>
                </c:pt>
                <c:pt idx="2">
                  <c:v>6.1907508040000003E-3</c:v>
                </c:pt>
                <c:pt idx="3">
                  <c:v>1.628431082E-3</c:v>
                </c:pt>
                <c:pt idx="4">
                  <c:v>5.3684999780000001E-4</c:v>
                </c:pt>
                <c:pt idx="5">
                  <c:v>1.2431101370000001E-4</c:v>
                </c:pt>
                <c:pt idx="6" formatCode="0.00E+00">
                  <c:v>3.1800673849999997E-5</c:v>
                </c:pt>
                <c:pt idx="7" formatCode="0.00E+00">
                  <c:v>3.3888457409999999E-6</c:v>
                </c:pt>
                <c:pt idx="8" formatCode="0.00E+00">
                  <c:v>6.278430336E-7</c:v>
                </c:pt>
                <c:pt idx="9" formatCode="0.00E+00">
                  <c:v>1.1729659960000001E-7</c:v>
                </c:pt>
                <c:pt idx="10" formatCode="0.00E+00">
                  <c:v>2.9384545489999999E-8</c:v>
                </c:pt>
                <c:pt idx="11" formatCode="0.00E+00">
                  <c:v>5.5751571039999997E-9</c:v>
                </c:pt>
                <c:pt idx="12" formatCode="0.00E+00">
                  <c:v>7.9975324599999998E-10</c:v>
                </c:pt>
                <c:pt idx="13" formatCode="0.00E+00">
                  <c:v>1.11217994E-10</c:v>
                </c:pt>
                <c:pt idx="14" formatCode="0.00E+00">
                  <c:v>2.0675901199999999E-11</c:v>
                </c:pt>
                <c:pt idx="15" formatCode="0.00E+00">
                  <c:v>3.1608510840000001E-12</c:v>
                </c:pt>
                <c:pt idx="16" formatCode="0.00E+00">
                  <c:v>6.3057203769999997E-13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7-449E-A9C6-960208431FAB}"/>
            </c:ext>
          </c:extLst>
        </c:ser>
        <c:ser>
          <c:idx val="4"/>
          <c:order val="1"/>
          <c:tx>
            <c:strRef>
              <c:f>'Fig. 15'!$V$2:$Y$2</c:f>
              <c:strCache>
                <c:ptCount val="1"/>
                <c:pt idx="0">
                  <c:v>Overlap&gt;0.8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15'!$Y$4:$Y$24</c:f>
              <c:numCache>
                <c:formatCode>General</c:formatCode>
                <c:ptCount val="21"/>
                <c:pt idx="0">
                  <c:v>2.9999971390000001E-2</c:v>
                </c:pt>
                <c:pt idx="1">
                  <c:v>6.9000005719999993E-2</c:v>
                </c:pt>
                <c:pt idx="2">
                  <c:v>9.2999935150000004E-2</c:v>
                </c:pt>
                <c:pt idx="3">
                  <c:v>0.1150000095</c:v>
                </c:pt>
                <c:pt idx="4">
                  <c:v>0.1339998245</c:v>
                </c:pt>
                <c:pt idx="5">
                  <c:v>0.1529998779</c:v>
                </c:pt>
                <c:pt idx="6">
                  <c:v>0.1729998589</c:v>
                </c:pt>
                <c:pt idx="7">
                  <c:v>0.1949999332</c:v>
                </c:pt>
                <c:pt idx="8">
                  <c:v>0.21700000759999999</c:v>
                </c:pt>
                <c:pt idx="9">
                  <c:v>0.24099993710000001</c:v>
                </c:pt>
                <c:pt idx="10">
                  <c:v>0.26699995989999997</c:v>
                </c:pt>
                <c:pt idx="11">
                  <c:v>0.29900002479999999</c:v>
                </c:pt>
                <c:pt idx="12">
                  <c:v>0.33099985119999997</c:v>
                </c:pt>
                <c:pt idx="13">
                  <c:v>0.71599984169999997</c:v>
                </c:pt>
                <c:pt idx="14">
                  <c:v>0.83500003810000001</c:v>
                </c:pt>
                <c:pt idx="15">
                  <c:v>0.95099997520000001</c:v>
                </c:pt>
                <c:pt idx="16">
                  <c:v>0.9900000095</c:v>
                </c:pt>
                <c:pt idx="17">
                  <c:v>1.0499999520000001</c:v>
                </c:pt>
                <c:pt idx="18">
                  <c:v>1.605000019</c:v>
                </c:pt>
                <c:pt idx="19">
                  <c:v>1.6480000020000001</c:v>
                </c:pt>
                <c:pt idx="20">
                  <c:v>1.694000006</c:v>
                </c:pt>
              </c:numCache>
            </c:numRef>
          </c:xVal>
          <c:yVal>
            <c:numRef>
              <c:f>'Fig. 15'!$X$4:$X$24</c:f>
              <c:numCache>
                <c:formatCode>General</c:formatCode>
                <c:ptCount val="21"/>
                <c:pt idx="0">
                  <c:v>0.83635351250000001</c:v>
                </c:pt>
                <c:pt idx="1">
                  <c:v>3.6635280280000002E-2</c:v>
                </c:pt>
                <c:pt idx="2">
                  <c:v>7.233018529E-3</c:v>
                </c:pt>
                <c:pt idx="3">
                  <c:v>2.2482813529999999E-3</c:v>
                </c:pt>
                <c:pt idx="4">
                  <c:v>5.6782491999999999E-4</c:v>
                </c:pt>
                <c:pt idx="5">
                  <c:v>1.6360507760000001E-4</c:v>
                </c:pt>
                <c:pt idx="6" formatCode="0.00E+00">
                  <c:v>5.0038886910000002E-5</c:v>
                </c:pt>
                <c:pt idx="7" formatCode="0.00E+00">
                  <c:v>1.3694169750000001E-5</c:v>
                </c:pt>
                <c:pt idx="8" formatCode="0.00E+00">
                  <c:v>2.9831181289999999E-6</c:v>
                </c:pt>
                <c:pt idx="9" formatCode="0.00E+00">
                  <c:v>4.8496291129999995E-7</c:v>
                </c:pt>
                <c:pt idx="10" formatCode="0.00E+00">
                  <c:v>9.2383108210000004E-8</c:v>
                </c:pt>
                <c:pt idx="11" formatCode="0.00E+00">
                  <c:v>2.3282910069999999E-8</c:v>
                </c:pt>
                <c:pt idx="12" formatCode="0.00E+00">
                  <c:v>2.0058995430000001E-8</c:v>
                </c:pt>
                <c:pt idx="13" formatCode="0.00E+00">
                  <c:v>1.070053584E-8</c:v>
                </c:pt>
                <c:pt idx="14" formatCode="0.00E+00">
                  <c:v>3.1166184240000001E-9</c:v>
                </c:pt>
                <c:pt idx="15" formatCode="0.00E+00">
                  <c:v>2.6697132170000001E-9</c:v>
                </c:pt>
                <c:pt idx="16" formatCode="0.00E+00">
                  <c:v>8.9367672039999996E-10</c:v>
                </c:pt>
                <c:pt idx="17" formatCode="0.00E+00">
                  <c:v>1.8577501779999999E-10</c:v>
                </c:pt>
                <c:pt idx="18" formatCode="0.00E+00">
                  <c:v>2.5884132240000002E-11</c:v>
                </c:pt>
                <c:pt idx="19" formatCode="0.00E+00">
                  <c:v>3.1190265759999999E-12</c:v>
                </c:pt>
                <c:pt idx="20" formatCode="0.00E+00">
                  <c:v>5.1127738110000003E-13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57-449E-A9C6-960208431FAB}"/>
            </c:ext>
          </c:extLst>
        </c:ser>
        <c:ser>
          <c:idx val="2"/>
          <c:order val="2"/>
          <c:tx>
            <c:strRef>
              <c:f>'Fig. 15'!$AA$2:$AD$2</c:f>
              <c:strCache>
                <c:ptCount val="1"/>
                <c:pt idx="0">
                  <c:v>Overlap&gt;0.9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15'!$AD$4:$AD$35</c:f>
              <c:numCache>
                <c:formatCode>General</c:formatCode>
                <c:ptCount val="32"/>
                <c:pt idx="0">
                  <c:v>2.6999950410000001E-2</c:v>
                </c:pt>
                <c:pt idx="1">
                  <c:v>7.0999860760000005E-2</c:v>
                </c:pt>
                <c:pt idx="2">
                  <c:v>9.2999935150000004E-2</c:v>
                </c:pt>
                <c:pt idx="3">
                  <c:v>0.1119999886</c:v>
                </c:pt>
                <c:pt idx="4">
                  <c:v>0.12899994849999999</c:v>
                </c:pt>
                <c:pt idx="5">
                  <c:v>0.14599990839999999</c:v>
                </c:pt>
                <c:pt idx="6">
                  <c:v>0.1629998684</c:v>
                </c:pt>
                <c:pt idx="7">
                  <c:v>0.18199992179999999</c:v>
                </c:pt>
                <c:pt idx="8">
                  <c:v>0.21000003810000001</c:v>
                </c:pt>
                <c:pt idx="9">
                  <c:v>0.2339999676</c:v>
                </c:pt>
                <c:pt idx="10">
                  <c:v>0.28900003429999999</c:v>
                </c:pt>
                <c:pt idx="11">
                  <c:v>0.34099984169999997</c:v>
                </c:pt>
                <c:pt idx="12">
                  <c:v>0.49699997899999998</c:v>
                </c:pt>
                <c:pt idx="13">
                  <c:v>0.56699991230000002</c:v>
                </c:pt>
                <c:pt idx="14">
                  <c:v>0.78900003429999999</c:v>
                </c:pt>
                <c:pt idx="15">
                  <c:v>0.92599987979999998</c:v>
                </c:pt>
                <c:pt idx="16">
                  <c:v>1</c:v>
                </c:pt>
                <c:pt idx="17">
                  <c:v>1.1169998649999999</c:v>
                </c:pt>
                <c:pt idx="18">
                  <c:v>1.155999899</c:v>
                </c:pt>
                <c:pt idx="19">
                  <c:v>1.3069999219999999</c:v>
                </c:pt>
                <c:pt idx="20">
                  <c:v>1.3269999029999999</c:v>
                </c:pt>
                <c:pt idx="21">
                  <c:v>1.4539999960000001</c:v>
                </c:pt>
                <c:pt idx="22">
                  <c:v>1.4759998320000001</c:v>
                </c:pt>
                <c:pt idx="23">
                  <c:v>1.506999969</c:v>
                </c:pt>
                <c:pt idx="24">
                  <c:v>1.569000006</c:v>
                </c:pt>
                <c:pt idx="25">
                  <c:v>1.7200000289999999</c:v>
                </c:pt>
                <c:pt idx="26">
                  <c:v>1.9049999710000001</c:v>
                </c:pt>
                <c:pt idx="27">
                  <c:v>2.4409999849999999</c:v>
                </c:pt>
                <c:pt idx="28">
                  <c:v>3.2359998230000002</c:v>
                </c:pt>
                <c:pt idx="29">
                  <c:v>4.1269998550000002</c:v>
                </c:pt>
                <c:pt idx="30">
                  <c:v>4.7359998230000002</c:v>
                </c:pt>
                <c:pt idx="31">
                  <c:v>4.9659998420000004</c:v>
                </c:pt>
              </c:numCache>
            </c:numRef>
          </c:xVal>
          <c:yVal>
            <c:numRef>
              <c:f>'Fig. 15'!$AC$4:$AC$35</c:f>
              <c:numCache>
                <c:formatCode>General</c:formatCode>
                <c:ptCount val="32"/>
                <c:pt idx="0">
                  <c:v>0.83635351250000001</c:v>
                </c:pt>
                <c:pt idx="1">
                  <c:v>3.505188234E-2</c:v>
                </c:pt>
                <c:pt idx="2">
                  <c:v>7.9929253980000007E-3</c:v>
                </c:pt>
                <c:pt idx="3">
                  <c:v>2.1540136470000002E-3</c:v>
                </c:pt>
                <c:pt idx="4">
                  <c:v>5.4281218889999996E-4</c:v>
                </c:pt>
                <c:pt idx="5">
                  <c:v>1.934470713E-4</c:v>
                </c:pt>
                <c:pt idx="6" formatCode="0.00E+00">
                  <c:v>5.0878391039999999E-5</c:v>
                </c:pt>
                <c:pt idx="7" formatCode="0.00E+00">
                  <c:v>1.162190453E-5</c:v>
                </c:pt>
                <c:pt idx="8" formatCode="0.00E+00">
                  <c:v>1.9572306240000002E-6</c:v>
                </c:pt>
                <c:pt idx="9" formatCode="0.00E+00">
                  <c:v>4.1028159730000003E-7</c:v>
                </c:pt>
                <c:pt idx="10" formatCode="0.00E+00">
                  <c:v>5.9939640219999997E-8</c:v>
                </c:pt>
                <c:pt idx="11" formatCode="0.00E+00">
                  <c:v>3.6144233669999998E-8</c:v>
                </c:pt>
                <c:pt idx="12" formatCode="0.00E+00">
                  <c:v>2.5640779690000001E-8</c:v>
                </c:pt>
                <c:pt idx="13" formatCode="0.00E+00">
                  <c:v>2.5611179750000001E-9</c:v>
                </c:pt>
                <c:pt idx="14" formatCode="0.00E+00">
                  <c:v>2.5611179750000001E-9</c:v>
                </c:pt>
                <c:pt idx="15" formatCode="0.00E+00">
                  <c:v>2.5611179750000001E-9</c:v>
                </c:pt>
                <c:pt idx="16" formatCode="0.00E+00">
                  <c:v>2.5611179750000001E-9</c:v>
                </c:pt>
                <c:pt idx="17" formatCode="0.00E+00">
                  <c:v>2.5611179750000001E-9</c:v>
                </c:pt>
                <c:pt idx="18" formatCode="0.00E+00">
                  <c:v>2.5611179750000001E-9</c:v>
                </c:pt>
                <c:pt idx="19" formatCode="0.00E+00">
                  <c:v>2.5611179750000001E-9</c:v>
                </c:pt>
                <c:pt idx="20" formatCode="0.00E+00">
                  <c:v>2.5611179750000001E-9</c:v>
                </c:pt>
                <c:pt idx="21" formatCode="0.00E+00">
                  <c:v>2.5611179750000001E-9</c:v>
                </c:pt>
                <c:pt idx="22" formatCode="0.00E+00">
                  <c:v>2.5611179750000001E-9</c:v>
                </c:pt>
                <c:pt idx="23" formatCode="0.00E+00">
                  <c:v>2.5611179750000001E-9</c:v>
                </c:pt>
                <c:pt idx="24" formatCode="0.00E+00">
                  <c:v>2.5611179750000001E-9</c:v>
                </c:pt>
                <c:pt idx="25" formatCode="0.00E+00">
                  <c:v>2.5611179750000001E-9</c:v>
                </c:pt>
                <c:pt idx="26" formatCode="0.00E+00">
                  <c:v>5.5782712329999995E-10</c:v>
                </c:pt>
                <c:pt idx="27" formatCode="0.00E+00">
                  <c:v>1.105701458E-10</c:v>
                </c:pt>
                <c:pt idx="28" formatCode="0.00E+00">
                  <c:v>1.4482085830000001E-11</c:v>
                </c:pt>
                <c:pt idx="29" formatCode="0.00E+00">
                  <c:v>1.4482085830000001E-11</c:v>
                </c:pt>
                <c:pt idx="30" formatCode="0.00E+00">
                  <c:v>2.512083423E-12</c:v>
                </c:pt>
                <c:pt idx="31" formatCode="0.00E+00">
                  <c:v>5.7160802780000001E-13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57-449E-A9C6-960208431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7604312654909213"/>
          <c:y val="0.10639998444211582"/>
          <c:w val="0.16198820616873155"/>
          <c:h val="0.12787687266204684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0" i="0" baseline="0">
                <a:effectLst/>
              </a:rPr>
              <a:t>Birm- 20250803</a:t>
            </a:r>
            <a:endParaRPr lang="en-HK">
              <a:effectLst/>
            </a:endParaRPr>
          </a:p>
        </c:rich>
      </c:tx>
      <c:layout>
        <c:manualLayout>
          <c:xMode val="edge"/>
          <c:yMode val="edge"/>
          <c:x val="0.4784166275554414"/>
          <c:y val="4.2661082635171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46726427531699"/>
          <c:y val="9.9003156603594752E-2"/>
          <c:w val="0.83152200239848995"/>
          <c:h val="0.782088214340124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'Fig. 15'!$AG$2:$AJ$2</c:f>
              <c:strCache>
                <c:ptCount val="1"/>
                <c:pt idx="0">
                  <c:v>Overlap&gt;0.7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'Fig. 15'!$AJ$4:$AJ$12</c:f>
              <c:numCache>
                <c:formatCode>General</c:formatCode>
                <c:ptCount val="9"/>
                <c:pt idx="0">
                  <c:v>0.56599998470000001</c:v>
                </c:pt>
                <c:pt idx="1">
                  <c:v>1.4269998070000001</c:v>
                </c:pt>
                <c:pt idx="2">
                  <c:v>2.0919997690000001</c:v>
                </c:pt>
                <c:pt idx="3">
                  <c:v>2.885999918</c:v>
                </c:pt>
                <c:pt idx="4">
                  <c:v>3.9219999310000002</c:v>
                </c:pt>
                <c:pt idx="5">
                  <c:v>5.1749999520000003</c:v>
                </c:pt>
                <c:pt idx="6">
                  <c:v>7.2939999100000001</c:v>
                </c:pt>
                <c:pt idx="7">
                  <c:v>9.6089999679999991</c:v>
                </c:pt>
                <c:pt idx="8">
                  <c:v>11.917999979999999</c:v>
                </c:pt>
              </c:numCache>
            </c:numRef>
          </c:xVal>
          <c:yVal>
            <c:numRef>
              <c:f>'Fig. 15'!$AI$4:$AI$12</c:f>
              <c:numCache>
                <c:formatCode>General</c:formatCode>
                <c:ptCount val="9"/>
                <c:pt idx="0">
                  <c:v>4.7670839850000001E-2</c:v>
                </c:pt>
                <c:pt idx="1">
                  <c:v>2.4924822500000002E-3</c:v>
                </c:pt>
                <c:pt idx="2">
                  <c:v>2.8836791289999999E-4</c:v>
                </c:pt>
                <c:pt idx="3" formatCode="0.00E+00">
                  <c:v>3.8562784609999999E-5</c:v>
                </c:pt>
                <c:pt idx="4" formatCode="0.00E+00">
                  <c:v>3.1210896179999999E-6</c:v>
                </c:pt>
                <c:pt idx="5" formatCode="0.00E+00">
                  <c:v>9.1142161819999995E-8</c:v>
                </c:pt>
                <c:pt idx="6" formatCode="0.00E+00">
                  <c:v>1.9581807529999998E-9</c:v>
                </c:pt>
                <c:pt idx="7" formatCode="0.00E+00">
                  <c:v>3.9271493659999998E-11</c:v>
                </c:pt>
                <c:pt idx="8" formatCode="0.00E+00">
                  <c:v>7.8368702590000004E-13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A-44FA-81AF-BA372972354A}"/>
            </c:ext>
          </c:extLst>
        </c:ser>
        <c:ser>
          <c:idx val="4"/>
          <c:order val="1"/>
          <c:tx>
            <c:strRef>
              <c:f>'Fig. 15'!$AL$2:$AO$2</c:f>
              <c:strCache>
                <c:ptCount val="1"/>
                <c:pt idx="0">
                  <c:v>Overlap&gt;0.8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15'!$AO$4:$AO$12</c:f>
              <c:numCache>
                <c:formatCode>General</c:formatCode>
                <c:ptCount val="9"/>
                <c:pt idx="0">
                  <c:v>0.46799993519999999</c:v>
                </c:pt>
                <c:pt idx="1">
                  <c:v>1.2369999890000001</c:v>
                </c:pt>
                <c:pt idx="2">
                  <c:v>1.7869999409999999</c:v>
                </c:pt>
                <c:pt idx="3">
                  <c:v>2.4119999409999999</c:v>
                </c:pt>
                <c:pt idx="4">
                  <c:v>3.180999994</c:v>
                </c:pt>
                <c:pt idx="5">
                  <c:v>3.9639999869999998</c:v>
                </c:pt>
                <c:pt idx="6">
                  <c:v>5.1019999980000001</c:v>
                </c:pt>
                <c:pt idx="7">
                  <c:v>6.433000088</c:v>
                </c:pt>
                <c:pt idx="8">
                  <c:v>7.7469999789999999</c:v>
                </c:pt>
              </c:numCache>
            </c:numRef>
          </c:xVal>
          <c:yVal>
            <c:numRef>
              <c:f>'Fig. 15'!$AN$4:$AN$12</c:f>
              <c:numCache>
                <c:formatCode>General</c:formatCode>
                <c:ptCount val="9"/>
                <c:pt idx="0">
                  <c:v>4.7670839850000001E-2</c:v>
                </c:pt>
                <c:pt idx="1">
                  <c:v>2.605798089E-3</c:v>
                </c:pt>
                <c:pt idx="2">
                  <c:v>2.706281496E-4</c:v>
                </c:pt>
                <c:pt idx="3" formatCode="0.00E+00">
                  <c:v>3.6521618259999997E-5</c:v>
                </c:pt>
                <c:pt idx="4" formatCode="0.00E+00">
                  <c:v>3.128143869E-6</c:v>
                </c:pt>
                <c:pt idx="5" formatCode="0.00E+00">
                  <c:v>1.179237782E-7</c:v>
                </c:pt>
                <c:pt idx="6" formatCode="0.00E+00">
                  <c:v>2.5721814369999999E-9</c:v>
                </c:pt>
                <c:pt idx="7" formatCode="0.00E+00">
                  <c:v>5.0344899360000003E-11</c:v>
                </c:pt>
                <c:pt idx="8" formatCode="0.00E+00">
                  <c:v>8.5339591300000003E-13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4A-44FA-81AF-BA372972354A}"/>
            </c:ext>
          </c:extLst>
        </c:ser>
        <c:ser>
          <c:idx val="2"/>
          <c:order val="2"/>
          <c:tx>
            <c:strRef>
              <c:f>'Fig. 15'!$AQ$2:$AT$2</c:f>
              <c:strCache>
                <c:ptCount val="1"/>
                <c:pt idx="0">
                  <c:v>Overlap&gt;0.9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15'!$AT$4:$AT$12</c:f>
              <c:numCache>
                <c:formatCode>General</c:formatCode>
                <c:ptCount val="9"/>
                <c:pt idx="0">
                  <c:v>0.42400002479999999</c:v>
                </c:pt>
                <c:pt idx="1">
                  <c:v>1.1710000039999999</c:v>
                </c:pt>
                <c:pt idx="2">
                  <c:v>1.6890001299999999</c:v>
                </c:pt>
                <c:pt idx="3">
                  <c:v>2.2850000860000002</c:v>
                </c:pt>
                <c:pt idx="4">
                  <c:v>2.97300005</c:v>
                </c:pt>
                <c:pt idx="5">
                  <c:v>3.7730000019999999</c:v>
                </c:pt>
                <c:pt idx="6">
                  <c:v>4.9739999770000001</c:v>
                </c:pt>
                <c:pt idx="7">
                  <c:v>6.5340001579999996</c:v>
                </c:pt>
                <c:pt idx="8">
                  <c:v>8.3190000059999996</c:v>
                </c:pt>
              </c:numCache>
            </c:numRef>
          </c:xVal>
          <c:yVal>
            <c:numRef>
              <c:f>'Fig. 15'!$AS$4:$AS$12</c:f>
              <c:numCache>
                <c:formatCode>General</c:formatCode>
                <c:ptCount val="9"/>
                <c:pt idx="0">
                  <c:v>4.7670839850000001E-2</c:v>
                </c:pt>
                <c:pt idx="1">
                  <c:v>2.6855258669999998E-3</c:v>
                </c:pt>
                <c:pt idx="2">
                  <c:v>3.207234675E-4</c:v>
                </c:pt>
                <c:pt idx="3" formatCode="0.00E+00">
                  <c:v>3.8158478129999998E-5</c:v>
                </c:pt>
                <c:pt idx="4" formatCode="0.00E+00">
                  <c:v>2.696857081E-6</c:v>
                </c:pt>
                <c:pt idx="5" formatCode="0.00E+00">
                  <c:v>6.7443299289999997E-8</c:v>
                </c:pt>
                <c:pt idx="6" formatCode="0.00E+00">
                  <c:v>1.3569012760000001E-9</c:v>
                </c:pt>
                <c:pt idx="7" formatCode="0.00E+00">
                  <c:v>2.8029552640000001E-11</c:v>
                </c:pt>
                <c:pt idx="8" formatCode="0.00E+00">
                  <c:v>6.7718503329999996E-13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4A-44FA-81AF-BA3729723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7604312654909213"/>
          <c:y val="0.10639998444211582"/>
          <c:w val="0.16198820616873155"/>
          <c:h val="0.12787687266204684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0" i="0" baseline="0">
                <a:effectLst/>
              </a:rPr>
              <a:t>Phi- 20250803</a:t>
            </a:r>
            <a:endParaRPr lang="en-HK">
              <a:effectLst/>
            </a:endParaRPr>
          </a:p>
        </c:rich>
      </c:tx>
      <c:layout>
        <c:manualLayout>
          <c:xMode val="edge"/>
          <c:yMode val="edge"/>
          <c:x val="0.4784166275554414"/>
          <c:y val="4.2661082635171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4239646730313"/>
          <c:y val="9.6778098844073734E-2"/>
          <c:w val="0.83152200239848995"/>
          <c:h val="0.78208821434012443"/>
        </c:manualLayout>
      </c:layout>
      <c:scatterChart>
        <c:scatterStyle val="lineMarker"/>
        <c:varyColors val="0"/>
        <c:ser>
          <c:idx val="3"/>
          <c:order val="0"/>
          <c:tx>
            <c:strRef>
              <c:f>'Fig. 15'!$AV$2:$AY$2</c:f>
              <c:strCache>
                <c:ptCount val="1"/>
                <c:pt idx="0">
                  <c:v>Overlap&gt;0.7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'Fig. 15'!$AY$4:$AY$21</c:f>
              <c:numCache>
                <c:formatCode>General</c:formatCode>
                <c:ptCount val="18"/>
                <c:pt idx="0">
                  <c:v>2.2810001369999999</c:v>
                </c:pt>
                <c:pt idx="1">
                  <c:v>4.6369999999999996</c:v>
                </c:pt>
                <c:pt idx="2">
                  <c:v>6.4880000000000004</c:v>
                </c:pt>
                <c:pt idx="3">
                  <c:v>8.3569999999999993</c:v>
                </c:pt>
                <c:pt idx="4">
                  <c:v>10.209</c:v>
                </c:pt>
                <c:pt idx="5">
                  <c:v>12.055</c:v>
                </c:pt>
                <c:pt idx="6">
                  <c:v>14.141999999999999</c:v>
                </c:pt>
                <c:pt idx="7">
                  <c:v>15.986000000000001</c:v>
                </c:pt>
                <c:pt idx="8">
                  <c:v>19.75</c:v>
                </c:pt>
                <c:pt idx="9">
                  <c:v>22.902000000000001</c:v>
                </c:pt>
                <c:pt idx="10">
                  <c:v>28.654</c:v>
                </c:pt>
                <c:pt idx="11">
                  <c:v>37.258000000000003</c:v>
                </c:pt>
                <c:pt idx="12">
                  <c:v>46.642000000000003</c:v>
                </c:pt>
                <c:pt idx="13">
                  <c:v>56.670999999999999</c:v>
                </c:pt>
                <c:pt idx="14">
                  <c:v>67.393000000000001</c:v>
                </c:pt>
                <c:pt idx="15">
                  <c:v>78.123999999999995</c:v>
                </c:pt>
                <c:pt idx="16">
                  <c:v>89.37</c:v>
                </c:pt>
                <c:pt idx="17">
                  <c:v>101.836</c:v>
                </c:pt>
              </c:numCache>
            </c:numRef>
          </c:xVal>
          <c:yVal>
            <c:numRef>
              <c:f>'Fig. 15'!$AX$4:$AX$21</c:f>
              <c:numCache>
                <c:formatCode>0.00E+00</c:formatCode>
                <c:ptCount val="18"/>
                <c:pt idx="0" formatCode="General">
                  <c:v>0.76040188710000001</c:v>
                </c:pt>
                <c:pt idx="1">
                  <c:v>0.23727599999999999</c:v>
                </c:pt>
                <c:pt idx="2">
                  <c:v>4.7241400000000003E-2</c:v>
                </c:pt>
                <c:pt idx="3">
                  <c:v>1.69582E-2</c:v>
                </c:pt>
                <c:pt idx="4">
                  <c:v>6.9146199999999998E-3</c:v>
                </c:pt>
                <c:pt idx="5">
                  <c:v>2.9728100000000002E-3</c:v>
                </c:pt>
                <c:pt idx="6">
                  <c:v>1.3198699999999999E-3</c:v>
                </c:pt>
                <c:pt idx="7">
                  <c:v>5.8695600000000002E-4</c:v>
                </c:pt>
                <c:pt idx="8">
                  <c:v>2.3744400000000001E-4</c:v>
                </c:pt>
                <c:pt idx="9">
                  <c:v>4.8102600000000003E-5</c:v>
                </c:pt>
                <c:pt idx="10">
                  <c:v>8.6038200000000002E-6</c:v>
                </c:pt>
                <c:pt idx="11">
                  <c:v>9.7720300000000002E-7</c:v>
                </c:pt>
                <c:pt idx="12">
                  <c:v>8.7953099999999999E-8</c:v>
                </c:pt>
                <c:pt idx="13">
                  <c:v>7.7755699999999999E-9</c:v>
                </c:pt>
                <c:pt idx="14">
                  <c:v>6.5173300000000001E-10</c:v>
                </c:pt>
                <c:pt idx="15">
                  <c:v>5.4440000000000001E-11</c:v>
                </c:pt>
                <c:pt idx="16">
                  <c:v>4.5487500000000004E-12</c:v>
                </c:pt>
                <c:pt idx="17">
                  <c:v>3.9070100000000001E-13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DB-46DA-A4FF-44D50D71962C}"/>
            </c:ext>
          </c:extLst>
        </c:ser>
        <c:ser>
          <c:idx val="4"/>
          <c:order val="1"/>
          <c:tx>
            <c:strRef>
              <c:f>'Fig. 15'!$BA$2:$BD$2</c:f>
              <c:strCache>
                <c:ptCount val="1"/>
                <c:pt idx="0">
                  <c:v>Overlap&gt;0.8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15'!$BD$4:$BD$21</c:f>
              <c:numCache>
                <c:formatCode>General</c:formatCode>
                <c:ptCount val="18"/>
                <c:pt idx="0">
                  <c:v>1.3989999289999999</c:v>
                </c:pt>
                <c:pt idx="1">
                  <c:v>3.5230000000000001</c:v>
                </c:pt>
                <c:pt idx="2">
                  <c:v>5.0039999999999996</c:v>
                </c:pt>
                <c:pt idx="3">
                  <c:v>6.61</c:v>
                </c:pt>
                <c:pt idx="4">
                  <c:v>8.2469999999999999</c:v>
                </c:pt>
                <c:pt idx="5">
                  <c:v>9.8569999999999993</c:v>
                </c:pt>
                <c:pt idx="6">
                  <c:v>11.474</c:v>
                </c:pt>
                <c:pt idx="7">
                  <c:v>13.039</c:v>
                </c:pt>
                <c:pt idx="8">
                  <c:v>15.478</c:v>
                </c:pt>
                <c:pt idx="9">
                  <c:v>17.943000000000001</c:v>
                </c:pt>
                <c:pt idx="10">
                  <c:v>21.96</c:v>
                </c:pt>
                <c:pt idx="11">
                  <c:v>28.271999999999998</c:v>
                </c:pt>
                <c:pt idx="12">
                  <c:v>35.341000000000001</c:v>
                </c:pt>
                <c:pt idx="13">
                  <c:v>42.561</c:v>
                </c:pt>
                <c:pt idx="14">
                  <c:v>50.892000000000003</c:v>
                </c:pt>
                <c:pt idx="15">
                  <c:v>58.921999999999997</c:v>
                </c:pt>
                <c:pt idx="16">
                  <c:v>67.95</c:v>
                </c:pt>
                <c:pt idx="17">
                  <c:v>79.069000000000003</c:v>
                </c:pt>
              </c:numCache>
            </c:numRef>
          </c:xVal>
          <c:yVal>
            <c:numRef>
              <c:f>'Fig. 15'!$BC$4:$BC$21</c:f>
              <c:numCache>
                <c:formatCode>0.00E+00</c:formatCode>
                <c:ptCount val="18"/>
                <c:pt idx="0" formatCode="General">
                  <c:v>0.76040188710000001</c:v>
                </c:pt>
                <c:pt idx="1">
                  <c:v>0.2402</c:v>
                </c:pt>
                <c:pt idx="2">
                  <c:v>4.7301900000000001E-2</c:v>
                </c:pt>
                <c:pt idx="3">
                  <c:v>1.6995099999999999E-2</c:v>
                </c:pt>
                <c:pt idx="4">
                  <c:v>6.9191000000000001E-3</c:v>
                </c:pt>
                <c:pt idx="5">
                  <c:v>2.9244700000000002E-3</c:v>
                </c:pt>
                <c:pt idx="6">
                  <c:v>1.3407200000000001E-3</c:v>
                </c:pt>
                <c:pt idx="7">
                  <c:v>6.1939299999999998E-4</c:v>
                </c:pt>
                <c:pt idx="8">
                  <c:v>2.3067899999999999E-4</c:v>
                </c:pt>
                <c:pt idx="9">
                  <c:v>4.4060100000000002E-5</c:v>
                </c:pt>
                <c:pt idx="10">
                  <c:v>6.6499700000000003E-6</c:v>
                </c:pt>
                <c:pt idx="11">
                  <c:v>5.5899100000000003E-7</c:v>
                </c:pt>
                <c:pt idx="12">
                  <c:v>4.8140800000000003E-8</c:v>
                </c:pt>
                <c:pt idx="13">
                  <c:v>3.8421600000000003E-9</c:v>
                </c:pt>
                <c:pt idx="14">
                  <c:v>3.8054100000000002E-10</c:v>
                </c:pt>
                <c:pt idx="15">
                  <c:v>3.4464900000000001E-11</c:v>
                </c:pt>
                <c:pt idx="16">
                  <c:v>2.92485E-12</c:v>
                </c:pt>
                <c:pt idx="17">
                  <c:v>2.49984E-13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DB-46DA-A4FF-44D50D71962C}"/>
            </c:ext>
          </c:extLst>
        </c:ser>
        <c:ser>
          <c:idx val="2"/>
          <c:order val="2"/>
          <c:tx>
            <c:strRef>
              <c:f>'Fig. 15'!$BF$2:$BI$2</c:f>
              <c:strCache>
                <c:ptCount val="1"/>
                <c:pt idx="0">
                  <c:v>Overlap&gt;0.9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15'!$BI$4:$BI$22</c:f>
              <c:numCache>
                <c:formatCode>General</c:formatCode>
                <c:ptCount val="19"/>
                <c:pt idx="0">
                  <c:v>3.2949999999999999</c:v>
                </c:pt>
                <c:pt idx="1">
                  <c:v>4.774</c:v>
                </c:pt>
                <c:pt idx="2">
                  <c:v>6.351</c:v>
                </c:pt>
                <c:pt idx="3">
                  <c:v>8.0410000000000004</c:v>
                </c:pt>
                <c:pt idx="4">
                  <c:v>9.6379999999999999</c:v>
                </c:pt>
                <c:pt idx="5">
                  <c:v>11.125999999999999</c:v>
                </c:pt>
                <c:pt idx="6">
                  <c:v>12.645</c:v>
                </c:pt>
                <c:pt idx="7">
                  <c:v>14.518000000000001</c:v>
                </c:pt>
                <c:pt idx="8">
                  <c:v>16.542000000000002</c:v>
                </c:pt>
                <c:pt idx="9">
                  <c:v>20.587</c:v>
                </c:pt>
                <c:pt idx="10">
                  <c:v>24.96</c:v>
                </c:pt>
                <c:pt idx="11">
                  <c:v>31.507999999999999</c:v>
                </c:pt>
                <c:pt idx="12">
                  <c:v>41.655000000000001</c:v>
                </c:pt>
                <c:pt idx="13">
                  <c:v>50.127000000000002</c:v>
                </c:pt>
                <c:pt idx="14">
                  <c:v>64.301000000000002</c:v>
                </c:pt>
                <c:pt idx="15">
                  <c:v>96.227000000000004</c:v>
                </c:pt>
                <c:pt idx="16">
                  <c:v>142.32300000000001</c:v>
                </c:pt>
                <c:pt idx="17">
                  <c:v>176.15600000000001</c:v>
                </c:pt>
                <c:pt idx="18">
                  <c:v>203.471</c:v>
                </c:pt>
              </c:numCache>
            </c:numRef>
          </c:xVal>
          <c:yVal>
            <c:numRef>
              <c:f>'Fig. 15'!$BH$4:$BH$22</c:f>
              <c:numCache>
                <c:formatCode>0.00E+00</c:formatCode>
                <c:ptCount val="19"/>
                <c:pt idx="0">
                  <c:v>0.25586799999999998</c:v>
                </c:pt>
                <c:pt idx="1">
                  <c:v>4.8748100000000003E-2</c:v>
                </c:pt>
                <c:pt idx="2">
                  <c:v>1.7145799999999999E-2</c:v>
                </c:pt>
                <c:pt idx="3">
                  <c:v>6.6052300000000001E-3</c:v>
                </c:pt>
                <c:pt idx="4">
                  <c:v>2.9838299999999998E-3</c:v>
                </c:pt>
                <c:pt idx="5">
                  <c:v>1.3969200000000001E-3</c:v>
                </c:pt>
                <c:pt idx="6">
                  <c:v>6.5829599999999995E-4</c:v>
                </c:pt>
                <c:pt idx="7">
                  <c:v>3.0614800000000001E-4</c:v>
                </c:pt>
                <c:pt idx="8">
                  <c:v>8.4581799999999997E-5</c:v>
                </c:pt>
                <c:pt idx="9">
                  <c:v>1.9130000000000001E-5</c:v>
                </c:pt>
                <c:pt idx="10">
                  <c:v>2.1635000000000001E-6</c:v>
                </c:pt>
                <c:pt idx="11">
                  <c:v>2.07194E-7</c:v>
                </c:pt>
                <c:pt idx="12">
                  <c:v>1.85883E-7</c:v>
                </c:pt>
                <c:pt idx="13">
                  <c:v>2.2202400000000001E-8</c:v>
                </c:pt>
                <c:pt idx="14">
                  <c:v>4.67805E-9</c:v>
                </c:pt>
                <c:pt idx="15">
                  <c:v>6.1119400000000003E-9</c:v>
                </c:pt>
                <c:pt idx="16">
                  <c:v>5.8005200000000001E-9</c:v>
                </c:pt>
                <c:pt idx="17">
                  <c:v>5.4850600000000001E-9</c:v>
                </c:pt>
                <c:pt idx="18">
                  <c:v>1.9796499999999999E-9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DB-46DA-A4FF-44D50D719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7604312654909213"/>
          <c:y val="0.10639998444211582"/>
          <c:w val="0.16198820616873155"/>
          <c:h val="0.12787687266204684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268941</xdr:colOff>
      <xdr:row>27</xdr:row>
      <xdr:rowOff>177292</xdr:rowOff>
    </xdr:from>
    <xdr:to>
      <xdr:col>12</xdr:col>
      <xdr:colOff>140073</xdr:colOff>
      <xdr:row>57</xdr:row>
      <xdr:rowOff>170009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4E89A763-5989-4786-98A5-531B5EBD3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420221</xdr:colOff>
      <xdr:row>30</xdr:row>
      <xdr:rowOff>23212</xdr:rowOff>
    </xdr:from>
    <xdr:to>
      <xdr:col>29</xdr:col>
      <xdr:colOff>255334</xdr:colOff>
      <xdr:row>60</xdr:row>
      <xdr:rowOff>15929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3504041A-BCE4-4E60-BC78-C8AE5C49B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510886</xdr:colOff>
      <xdr:row>27</xdr:row>
      <xdr:rowOff>112569</xdr:rowOff>
    </xdr:from>
    <xdr:to>
      <xdr:col>45</xdr:col>
      <xdr:colOff>345999</xdr:colOff>
      <xdr:row>57</xdr:row>
      <xdr:rowOff>105286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E2F4A2AE-3220-4E03-8403-DD81A260F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284948</xdr:colOff>
      <xdr:row>28</xdr:row>
      <xdr:rowOff>188499</xdr:rowOff>
    </xdr:from>
    <xdr:to>
      <xdr:col>60</xdr:col>
      <xdr:colOff>387003</xdr:colOff>
      <xdr:row>58</xdr:row>
      <xdr:rowOff>181216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86F4DFF0-D791-4B5B-A83E-7CEC8E45A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587801</xdr:colOff>
      <xdr:row>56</xdr:row>
      <xdr:rowOff>169106</xdr:rowOff>
    </xdr:from>
    <xdr:to>
      <xdr:col>17</xdr:col>
      <xdr:colOff>117995</xdr:colOff>
      <xdr:row>100</xdr:row>
      <xdr:rowOff>103909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17CB46D-02FD-44E3-B976-21653DFFB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3937" y="10837106"/>
          <a:ext cx="10507885" cy="8316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A8B0-0A65-4B86-A5E9-BE4EEBA6586E}">
  <dimension ref="A1:BJ128"/>
  <sheetViews>
    <sheetView tabSelected="1" zoomScale="40" zoomScaleNormal="40" workbookViewId="0">
      <selection activeCell="AX31" sqref="AX31"/>
    </sheetView>
  </sheetViews>
  <sheetFormatPr defaultRowHeight="15"/>
  <cols>
    <col min="1" max="1" width="19.140625" customWidth="1"/>
    <col min="6" max="6" width="15.5703125" customWidth="1"/>
    <col min="10" max="10" width="9.140625" style="3"/>
    <col min="11" max="11" width="16" customWidth="1"/>
    <col min="17" max="17" width="14.7109375" customWidth="1"/>
    <col min="21" max="21" width="9.140625" style="3"/>
    <col min="22" max="22" width="16" customWidth="1"/>
    <col min="27" max="27" width="15.140625" customWidth="1"/>
    <col min="31" max="31" width="9.140625" customWidth="1"/>
    <col min="33" max="33" width="17.5703125" customWidth="1"/>
    <col min="38" max="38" width="16.140625" customWidth="1"/>
    <col min="43" max="43" width="14" customWidth="1"/>
    <col min="48" max="48" width="13" customWidth="1"/>
    <col min="50" max="50" width="10.28515625" bestFit="1" customWidth="1"/>
    <col min="53" max="53" width="14.85546875" customWidth="1"/>
    <col min="55" max="56" width="9.28515625" bestFit="1" customWidth="1"/>
    <col min="58" max="58" width="13.85546875" customWidth="1"/>
    <col min="59" max="61" width="9.28515625" bestFit="1" customWidth="1"/>
  </cols>
  <sheetData>
    <row r="1" spans="1:62">
      <c r="A1" s="15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Q1" s="15" t="s">
        <v>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G1" s="15" t="s">
        <v>10</v>
      </c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V1" s="15" t="s">
        <v>11</v>
      </c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</row>
    <row r="2" spans="1:62">
      <c r="A2" s="14" t="s">
        <v>5</v>
      </c>
      <c r="B2" s="14"/>
      <c r="C2" s="14"/>
      <c r="D2" s="14"/>
      <c r="E2" s="5"/>
      <c r="F2" s="14" t="s">
        <v>6</v>
      </c>
      <c r="G2" s="14"/>
      <c r="H2" s="14"/>
      <c r="I2" s="14"/>
      <c r="J2" s="5"/>
      <c r="K2" s="14" t="s">
        <v>4</v>
      </c>
      <c r="L2" s="14"/>
      <c r="M2" s="14"/>
      <c r="N2" s="14"/>
      <c r="Q2" s="14" t="s">
        <v>5</v>
      </c>
      <c r="R2" s="14"/>
      <c r="S2" s="14"/>
      <c r="T2" s="14"/>
      <c r="U2" s="5"/>
      <c r="V2" s="14" t="s">
        <v>6</v>
      </c>
      <c r="W2" s="14"/>
      <c r="X2" s="14"/>
      <c r="Y2" s="14"/>
      <c r="Z2" s="5"/>
      <c r="AA2" s="14" t="s">
        <v>4</v>
      </c>
      <c r="AB2" s="14"/>
      <c r="AC2" s="14"/>
      <c r="AD2" s="14"/>
      <c r="AG2" s="14" t="s">
        <v>5</v>
      </c>
      <c r="AH2" s="14"/>
      <c r="AI2" s="14"/>
      <c r="AJ2" s="14"/>
      <c r="AK2" s="5"/>
      <c r="AL2" s="14" t="s">
        <v>6</v>
      </c>
      <c r="AM2" s="14"/>
      <c r="AN2" s="14"/>
      <c r="AO2" s="14"/>
      <c r="AP2" s="5"/>
      <c r="AQ2" s="14" t="s">
        <v>4</v>
      </c>
      <c r="AR2" s="14"/>
      <c r="AS2" s="14"/>
      <c r="AT2" s="14"/>
      <c r="AV2" s="14" t="s">
        <v>5</v>
      </c>
      <c r="AW2" s="14"/>
      <c r="AX2" s="14"/>
      <c r="AY2" s="14"/>
      <c r="AZ2" s="5"/>
      <c r="BA2" s="14" t="s">
        <v>6</v>
      </c>
      <c r="BB2" s="14"/>
      <c r="BC2" s="14"/>
      <c r="BD2" s="14"/>
      <c r="BE2" s="5"/>
      <c r="BF2" s="14" t="s">
        <v>4</v>
      </c>
      <c r="BG2" s="14"/>
      <c r="BH2" s="14"/>
      <c r="BI2" s="14"/>
    </row>
    <row r="3" spans="1:62">
      <c r="A3" s="5" t="s">
        <v>7</v>
      </c>
      <c r="B3" s="5" t="s">
        <v>8</v>
      </c>
      <c r="C3" s="5" t="s">
        <v>0</v>
      </c>
      <c r="D3" s="5" t="s">
        <v>1</v>
      </c>
      <c r="F3" s="5" t="s">
        <v>7</v>
      </c>
      <c r="G3" s="5" t="s">
        <v>8</v>
      </c>
      <c r="H3" s="5" t="s">
        <v>0</v>
      </c>
      <c r="I3" s="5" t="s">
        <v>1</v>
      </c>
      <c r="K3" s="5" t="s">
        <v>7</v>
      </c>
      <c r="L3" s="5" t="s">
        <v>8</v>
      </c>
      <c r="M3" s="5" t="s">
        <v>0</v>
      </c>
      <c r="N3" s="5" t="s">
        <v>1</v>
      </c>
      <c r="Q3" s="5" t="s">
        <v>7</v>
      </c>
      <c r="R3" s="5" t="s">
        <v>8</v>
      </c>
      <c r="S3" s="5" t="s">
        <v>0</v>
      </c>
      <c r="T3" s="5" t="s">
        <v>1</v>
      </c>
      <c r="U3" s="5"/>
      <c r="V3" s="5" t="s">
        <v>7</v>
      </c>
      <c r="W3" s="5" t="s">
        <v>8</v>
      </c>
      <c r="X3" s="5" t="s">
        <v>0</v>
      </c>
      <c r="Y3" s="5" t="s">
        <v>1</v>
      </c>
      <c r="Z3" s="5"/>
      <c r="AA3" s="5" t="s">
        <v>7</v>
      </c>
      <c r="AB3" s="5" t="s">
        <v>8</v>
      </c>
      <c r="AC3" s="5" t="s">
        <v>0</v>
      </c>
      <c r="AD3" s="5" t="s">
        <v>1</v>
      </c>
      <c r="AG3" s="5" t="s">
        <v>7</v>
      </c>
      <c r="AH3" s="5" t="s">
        <v>8</v>
      </c>
      <c r="AI3" s="5" t="s">
        <v>0</v>
      </c>
      <c r="AJ3" s="5" t="s">
        <v>1</v>
      </c>
      <c r="AK3" s="5"/>
      <c r="AL3" s="5" t="s">
        <v>7</v>
      </c>
      <c r="AM3" s="5" t="s">
        <v>8</v>
      </c>
      <c r="AN3" s="5" t="s">
        <v>0</v>
      </c>
      <c r="AO3" s="5" t="s">
        <v>1</v>
      </c>
      <c r="AP3" s="5"/>
      <c r="AQ3" s="5" t="s">
        <v>7</v>
      </c>
      <c r="AR3" s="5" t="s">
        <v>8</v>
      </c>
      <c r="AS3" s="5" t="s">
        <v>0</v>
      </c>
      <c r="AT3" s="5" t="s">
        <v>1</v>
      </c>
      <c r="AV3" s="5" t="s">
        <v>7</v>
      </c>
      <c r="AW3" s="5" t="s">
        <v>8</v>
      </c>
      <c r="AX3" s="5" t="s">
        <v>0</v>
      </c>
      <c r="AY3" s="5" t="s">
        <v>1</v>
      </c>
      <c r="AZ3" s="5"/>
      <c r="BA3" s="5" t="s">
        <v>7</v>
      </c>
      <c r="BB3" s="5" t="s">
        <v>8</v>
      </c>
      <c r="BC3" s="5" t="s">
        <v>0</v>
      </c>
      <c r="BD3" s="5" t="s">
        <v>1</v>
      </c>
      <c r="BE3" s="5"/>
      <c r="BF3" s="5" t="s">
        <v>7</v>
      </c>
      <c r="BG3" s="5" t="s">
        <v>8</v>
      </c>
      <c r="BH3" s="5" t="s">
        <v>0</v>
      </c>
      <c r="BI3" s="5" t="s">
        <v>1</v>
      </c>
    </row>
    <row r="4" spans="1:62">
      <c r="A4" s="5">
        <v>1296061.71897669</v>
      </c>
      <c r="B4" s="5">
        <v>0</v>
      </c>
      <c r="C4" s="5">
        <v>2.4220605020000001E-2</v>
      </c>
      <c r="D4" s="5">
        <f>D7*1/4</f>
        <v>2.7499999999999998E-3</v>
      </c>
      <c r="E4" s="12"/>
      <c r="F4" s="12">
        <v>1296061.71897669</v>
      </c>
      <c r="G4" s="5">
        <v>0</v>
      </c>
      <c r="H4" s="12">
        <v>2.4220605020000001E-2</v>
      </c>
      <c r="I4" s="12">
        <v>1.0001659390000001E-3</v>
      </c>
      <c r="J4" s="12"/>
      <c r="K4" s="12">
        <v>1296061.71897669</v>
      </c>
      <c r="L4" s="5">
        <v>0</v>
      </c>
      <c r="M4" s="12">
        <v>2.4220605020000001E-2</v>
      </c>
      <c r="N4" s="12">
        <v>9.9992752079999998E-4</v>
      </c>
      <c r="O4" s="12"/>
      <c r="Q4" s="5">
        <v>35819126.2552763</v>
      </c>
      <c r="R4" s="5">
        <v>0</v>
      </c>
      <c r="S4" s="5">
        <v>0.83635351250000001</v>
      </c>
      <c r="T4" s="5">
        <v>3.8000106810000003E-2</v>
      </c>
      <c r="U4" s="12"/>
      <c r="V4" s="5">
        <v>35819126.2552763</v>
      </c>
      <c r="W4" s="5">
        <v>0</v>
      </c>
      <c r="X4" s="5">
        <v>0.83635351250000001</v>
      </c>
      <c r="Y4" s="5">
        <v>2.9999971390000001E-2</v>
      </c>
      <c r="Z4" s="12"/>
      <c r="AA4" s="5">
        <v>35819126.2552763</v>
      </c>
      <c r="AB4" s="5">
        <v>0</v>
      </c>
      <c r="AC4" s="5">
        <v>0.83635351250000001</v>
      </c>
      <c r="AD4" s="5">
        <v>2.6999950410000001E-2</v>
      </c>
      <c r="AE4" s="12"/>
      <c r="AG4" s="5">
        <v>195022.50422106701</v>
      </c>
      <c r="AH4" s="5">
        <v>0</v>
      </c>
      <c r="AI4" s="5">
        <v>4.7670839850000001E-2</v>
      </c>
      <c r="AJ4" s="5">
        <v>0.56599998470000001</v>
      </c>
      <c r="AK4" s="12"/>
      <c r="AL4" s="5">
        <v>195022.50422106701</v>
      </c>
      <c r="AM4" s="5">
        <v>0</v>
      </c>
      <c r="AN4" s="5">
        <v>4.7670839850000001E-2</v>
      </c>
      <c r="AO4" s="5">
        <v>0.46799993519999999</v>
      </c>
      <c r="AP4" s="5"/>
      <c r="AQ4" s="5">
        <v>195022.50422106701</v>
      </c>
      <c r="AR4" s="5">
        <v>0</v>
      </c>
      <c r="AS4" s="5">
        <v>4.7670839850000001E-2</v>
      </c>
      <c r="AT4" s="5">
        <v>0.42400002479999999</v>
      </c>
      <c r="AV4" s="5">
        <v>479018440.05434501</v>
      </c>
      <c r="AW4" s="5">
        <v>0</v>
      </c>
      <c r="AX4" s="5">
        <v>0.76040188710000001</v>
      </c>
      <c r="AY4" s="5">
        <v>2.2810001369999999</v>
      </c>
      <c r="AZ4" s="12"/>
      <c r="BA4" s="5">
        <v>479018440.05434501</v>
      </c>
      <c r="BB4" s="5">
        <v>0</v>
      </c>
      <c r="BC4" s="5">
        <v>0.76040188710000001</v>
      </c>
      <c r="BD4" s="5">
        <v>1.3989999289999999</v>
      </c>
      <c r="BE4" s="12"/>
      <c r="BF4" s="5">
        <v>299802040.30208498</v>
      </c>
      <c r="BG4" s="5">
        <v>1</v>
      </c>
      <c r="BH4" s="1">
        <v>0.25586799999999998</v>
      </c>
      <c r="BI4" s="5">
        <v>3.2949999999999999</v>
      </c>
      <c r="BJ4" s="12"/>
    </row>
    <row r="5" spans="1:62">
      <c r="A5" s="5">
        <v>1286566.5197248999</v>
      </c>
      <c r="B5" s="5">
        <v>1</v>
      </c>
      <c r="C5" s="1">
        <v>6.1339900000000004E-4</v>
      </c>
      <c r="D5" s="5">
        <f>D7*2/4</f>
        <v>5.4999999999999997E-3</v>
      </c>
      <c r="E5" s="12"/>
      <c r="F5" s="12">
        <v>1286895.1743922599</v>
      </c>
      <c r="G5" s="5">
        <v>1</v>
      </c>
      <c r="H5" s="1">
        <v>9.8099699999999995E-4</v>
      </c>
      <c r="I5" s="12">
        <v>6.0000000000000001E-3</v>
      </c>
      <c r="J5" s="12"/>
      <c r="K5" s="12">
        <v>1287011.9648206001</v>
      </c>
      <c r="L5" s="5">
        <v>1</v>
      </c>
      <c r="M5" s="1">
        <v>9.6596900000000001E-4</v>
      </c>
      <c r="N5" s="12">
        <v>4.0000000000000001E-3</v>
      </c>
      <c r="O5" s="12"/>
      <c r="Q5" s="5">
        <v>17027370.157862201</v>
      </c>
      <c r="R5" s="5">
        <v>1</v>
      </c>
      <c r="S5" s="5">
        <v>2.9557202500000001E-2</v>
      </c>
      <c r="T5" s="5">
        <v>8.300018311E-2</v>
      </c>
      <c r="U5" s="12"/>
      <c r="V5" s="5">
        <v>17072553.435064599</v>
      </c>
      <c r="W5" s="5">
        <v>1</v>
      </c>
      <c r="X5" s="5">
        <v>3.6635280280000002E-2</v>
      </c>
      <c r="Y5" s="5">
        <v>6.9000005719999993E-2</v>
      </c>
      <c r="Z5" s="12"/>
      <c r="AA5" s="5">
        <v>17077958.699147899</v>
      </c>
      <c r="AB5" s="5">
        <v>1</v>
      </c>
      <c r="AC5" s="5">
        <v>3.505188234E-2</v>
      </c>
      <c r="AD5" s="5">
        <v>7.0999860760000005E-2</v>
      </c>
      <c r="AE5" s="12"/>
      <c r="AG5" s="5">
        <v>193079.488430967</v>
      </c>
      <c r="AH5" s="5">
        <v>1</v>
      </c>
      <c r="AI5" s="5">
        <v>2.4924822500000002E-3</v>
      </c>
      <c r="AJ5" s="5">
        <v>1.4269998070000001</v>
      </c>
      <c r="AK5" s="12"/>
      <c r="AL5" s="5">
        <v>193093.33569495101</v>
      </c>
      <c r="AM5" s="5">
        <v>1</v>
      </c>
      <c r="AN5" s="5">
        <v>2.605798089E-3</v>
      </c>
      <c r="AO5" s="5">
        <v>1.2369999890000001</v>
      </c>
      <c r="AP5" s="5"/>
      <c r="AQ5" s="5">
        <v>193097.754094884</v>
      </c>
      <c r="AR5" s="5">
        <v>1</v>
      </c>
      <c r="AS5" s="5">
        <v>2.6855258669999998E-3</v>
      </c>
      <c r="AT5" s="5">
        <v>1.1710000039999999</v>
      </c>
      <c r="AV5" s="5">
        <v>298131944.118801</v>
      </c>
      <c r="AW5" s="5">
        <v>1</v>
      </c>
      <c r="AX5" s="1">
        <v>0.23727599999999999</v>
      </c>
      <c r="AY5" s="5">
        <v>4.6369999999999996</v>
      </c>
      <c r="AZ5" s="12"/>
      <c r="BA5" s="5">
        <v>298347945.25085002</v>
      </c>
      <c r="BB5" s="5">
        <v>1</v>
      </c>
      <c r="BC5" s="1">
        <v>0.2402</v>
      </c>
      <c r="BD5" s="5">
        <v>3.5230000000000001</v>
      </c>
      <c r="BE5" s="12"/>
      <c r="BF5" s="5">
        <v>279716349.98738801</v>
      </c>
      <c r="BG5" s="5">
        <v>2</v>
      </c>
      <c r="BH5" s="1">
        <v>4.8748100000000003E-2</v>
      </c>
      <c r="BI5" s="5">
        <v>4.774</v>
      </c>
      <c r="BJ5" s="12"/>
    </row>
    <row r="6" spans="1:62">
      <c r="A6" s="5">
        <v>1286057.0908226301</v>
      </c>
      <c r="B6" s="5">
        <v>2</v>
      </c>
      <c r="C6" s="1">
        <v>3.9530599999999997E-5</v>
      </c>
      <c r="D6" s="5">
        <f>D7*3/4</f>
        <v>8.2500000000000004E-3</v>
      </c>
      <c r="E6" s="12"/>
      <c r="F6" s="12">
        <v>1286144.5508499099</v>
      </c>
      <c r="G6" s="5">
        <v>2</v>
      </c>
      <c r="H6" s="1">
        <v>1.3997200000000001E-4</v>
      </c>
      <c r="I6" s="12">
        <v>8.0000000000000002E-3</v>
      </c>
      <c r="J6" s="12"/>
      <c r="K6" s="12">
        <v>1286101.6047992699</v>
      </c>
      <c r="L6" s="5">
        <v>2</v>
      </c>
      <c r="M6" s="1">
        <v>8.3036799999999998E-5</v>
      </c>
      <c r="N6" s="12">
        <v>5.0000000000000001E-3</v>
      </c>
      <c r="O6" s="12"/>
      <c r="Q6" s="5">
        <v>16826422.369289</v>
      </c>
      <c r="R6" s="5">
        <v>2</v>
      </c>
      <c r="S6" s="5">
        <v>6.1907508040000003E-3</v>
      </c>
      <c r="T6" s="5">
        <v>0.1160001755</v>
      </c>
      <c r="U6" s="12"/>
      <c r="V6" s="5">
        <v>16842307.560803499</v>
      </c>
      <c r="W6" s="5">
        <v>2</v>
      </c>
      <c r="X6" s="5">
        <v>7.233018529E-3</v>
      </c>
      <c r="Y6" s="5">
        <v>9.2999935150000004E-2</v>
      </c>
      <c r="Z6" s="12"/>
      <c r="AA6" s="5">
        <v>16845304.842330098</v>
      </c>
      <c r="AB6" s="5">
        <v>2</v>
      </c>
      <c r="AC6" s="5">
        <v>7.9929253980000007E-3</v>
      </c>
      <c r="AD6" s="5">
        <v>9.2999935150000004E-2</v>
      </c>
      <c r="AE6" s="12"/>
      <c r="AG6" s="5">
        <v>192770.450669137</v>
      </c>
      <c r="AH6" s="5">
        <v>2</v>
      </c>
      <c r="AI6" s="5">
        <v>2.8836791289999999E-4</v>
      </c>
      <c r="AJ6" s="5">
        <v>2.0919997690000001</v>
      </c>
      <c r="AK6" s="12"/>
      <c r="AL6" s="5">
        <v>192767.647531795</v>
      </c>
      <c r="AM6" s="5">
        <v>2</v>
      </c>
      <c r="AN6" s="5">
        <v>2.706281496E-4</v>
      </c>
      <c r="AO6" s="5">
        <v>1.7869999409999999</v>
      </c>
      <c r="AP6" s="5"/>
      <c r="AQ6" s="5">
        <v>192771.28465900401</v>
      </c>
      <c r="AR6" s="5">
        <v>2</v>
      </c>
      <c r="AS6" s="5">
        <v>3.207234675E-4</v>
      </c>
      <c r="AT6" s="5">
        <v>1.6890001299999999</v>
      </c>
      <c r="AV6" s="5">
        <v>279665049.43978101</v>
      </c>
      <c r="AW6" s="5">
        <v>2</v>
      </c>
      <c r="AX6" s="1">
        <v>4.7241400000000003E-2</v>
      </c>
      <c r="AY6" s="5">
        <v>6.4880000000000004</v>
      </c>
      <c r="AZ6" s="12"/>
      <c r="BA6" s="5">
        <v>279679240.35319698</v>
      </c>
      <c r="BB6" s="5">
        <v>2</v>
      </c>
      <c r="BC6" s="1">
        <v>4.7301900000000001E-2</v>
      </c>
      <c r="BD6" s="5">
        <v>5.0039999999999996</v>
      </c>
      <c r="BE6" s="12"/>
      <c r="BF6" s="5">
        <v>274672388.82060802</v>
      </c>
      <c r="BG6" s="5">
        <v>3</v>
      </c>
      <c r="BH6" s="1">
        <v>1.7145799999999999E-2</v>
      </c>
      <c r="BI6" s="5">
        <v>6.351</v>
      </c>
      <c r="BJ6" s="12"/>
    </row>
    <row r="7" spans="1:62">
      <c r="A7" s="5">
        <v>1286033.5013322299</v>
      </c>
      <c r="B7" s="5">
        <v>3</v>
      </c>
      <c r="C7" s="1">
        <v>1.21774E-5</v>
      </c>
      <c r="D7" s="5">
        <v>1.0999999999999999E-2</v>
      </c>
      <c r="E7" s="12"/>
      <c r="F7" s="12">
        <v>1286034.01991472</v>
      </c>
      <c r="G7" s="5">
        <v>3</v>
      </c>
      <c r="H7" s="1">
        <v>6.0950500000000002E-6</v>
      </c>
      <c r="I7" s="12">
        <v>1.2E-2</v>
      </c>
      <c r="J7" s="12"/>
      <c r="K7" s="12">
        <v>1286051.36769639</v>
      </c>
      <c r="L7" s="5">
        <v>3</v>
      </c>
      <c r="M7" s="1">
        <v>3.3151700000000003E-5</v>
      </c>
      <c r="N7" s="12">
        <v>8.0000000000000002E-3</v>
      </c>
      <c r="O7" s="12"/>
      <c r="Q7" s="5">
        <v>16767807.5955624</v>
      </c>
      <c r="R7" s="5">
        <v>3</v>
      </c>
      <c r="S7" s="5">
        <v>1.628431082E-3</v>
      </c>
      <c r="T7" s="5">
        <v>0.15000009540000001</v>
      </c>
      <c r="U7" s="12"/>
      <c r="V7" s="5">
        <v>16773374.523479</v>
      </c>
      <c r="W7" s="5">
        <v>3</v>
      </c>
      <c r="X7" s="5">
        <v>2.2482813529999999E-3</v>
      </c>
      <c r="Y7" s="5">
        <v>0.1150000095</v>
      </c>
      <c r="Z7" s="12"/>
      <c r="AA7" s="5">
        <v>16772221.741668999</v>
      </c>
      <c r="AB7" s="5">
        <v>3</v>
      </c>
      <c r="AC7" s="5">
        <v>2.1540136470000002E-3</v>
      </c>
      <c r="AD7" s="5">
        <v>0.1119999886</v>
      </c>
      <c r="AE7" s="12"/>
      <c r="AG7" s="5">
        <v>192739.44843727601</v>
      </c>
      <c r="AH7" s="5">
        <v>3</v>
      </c>
      <c r="AI7" s="1">
        <v>3.8562784609999999E-5</v>
      </c>
      <c r="AJ7" s="5">
        <v>2.885999918</v>
      </c>
      <c r="AK7" s="12"/>
      <c r="AL7" s="5">
        <v>192739.14516075401</v>
      </c>
      <c r="AM7" s="5">
        <v>3</v>
      </c>
      <c r="AN7" s="1">
        <v>3.6521618259999997E-5</v>
      </c>
      <c r="AO7" s="5">
        <v>2.4119999409999999</v>
      </c>
      <c r="AP7" s="5"/>
      <c r="AQ7" s="5">
        <v>192739.206474534</v>
      </c>
      <c r="AR7" s="5">
        <v>3</v>
      </c>
      <c r="AS7" s="1">
        <v>3.8158478129999998E-5</v>
      </c>
      <c r="AT7" s="5">
        <v>2.2850000860000002</v>
      </c>
      <c r="AV7" s="5">
        <v>274688722.13811898</v>
      </c>
      <c r="AW7" s="5">
        <v>3</v>
      </c>
      <c r="AX7" s="1">
        <v>1.69582E-2</v>
      </c>
      <c r="AY7" s="5">
        <v>8.3569999999999993</v>
      </c>
      <c r="AZ7" s="12"/>
      <c r="BA7" s="5">
        <v>274657484.29553902</v>
      </c>
      <c r="BB7" s="5">
        <v>3</v>
      </c>
      <c r="BC7" s="1">
        <v>1.6995099999999999E-2</v>
      </c>
      <c r="BD7" s="5">
        <v>6.61</v>
      </c>
      <c r="BE7" s="12"/>
      <c r="BF7" s="5">
        <v>272788617.46924502</v>
      </c>
      <c r="BG7" s="5">
        <v>4</v>
      </c>
      <c r="BH7" s="1">
        <v>6.6052300000000001E-3</v>
      </c>
      <c r="BI7" s="5">
        <v>8.0410000000000004</v>
      </c>
      <c r="BJ7" s="12"/>
    </row>
    <row r="8" spans="1:62">
      <c r="A8" s="5">
        <v>1286032.28039319</v>
      </c>
      <c r="B8" s="5">
        <v>4</v>
      </c>
      <c r="C8" s="1">
        <v>2.5749600000000001E-6</v>
      </c>
      <c r="D8" s="5">
        <v>1.0999999999999999E-2</v>
      </c>
      <c r="E8" s="12"/>
      <c r="F8" s="12">
        <v>1286032.1733830499</v>
      </c>
      <c r="G8" s="5">
        <v>4</v>
      </c>
      <c r="H8" s="1">
        <v>7.88897E-7</v>
      </c>
      <c r="I8" s="12">
        <v>1.9E-2</v>
      </c>
      <c r="J8" s="12"/>
      <c r="K8" s="12">
        <v>1286033.2658845801</v>
      </c>
      <c r="L8" s="5">
        <v>4</v>
      </c>
      <c r="M8" s="1">
        <v>1.0136700000000001E-5</v>
      </c>
      <c r="N8" s="12">
        <v>8.0000000000000002E-3</v>
      </c>
      <c r="O8" s="12"/>
      <c r="Q8" s="5">
        <v>16753410.859957799</v>
      </c>
      <c r="R8" s="5">
        <v>4</v>
      </c>
      <c r="S8" s="5">
        <v>5.3684999780000001E-4</v>
      </c>
      <c r="T8" s="5">
        <v>0.17900013919999999</v>
      </c>
      <c r="U8" s="12"/>
      <c r="V8" s="5">
        <v>16755113.003943801</v>
      </c>
      <c r="W8" s="5">
        <v>4</v>
      </c>
      <c r="X8" s="5">
        <v>5.6782491999999999E-4</v>
      </c>
      <c r="Y8" s="5">
        <v>0.1339998245</v>
      </c>
      <c r="Z8" s="12"/>
      <c r="AA8" s="5">
        <v>16753408.5380417</v>
      </c>
      <c r="AB8" s="5">
        <v>4</v>
      </c>
      <c r="AC8" s="5">
        <v>5.4281218889999996E-4</v>
      </c>
      <c r="AD8" s="5">
        <v>0.12899994849999999</v>
      </c>
      <c r="AE8" s="12"/>
      <c r="AG8" s="5">
        <v>192737.19812599701</v>
      </c>
      <c r="AH8" s="5">
        <v>4</v>
      </c>
      <c r="AI8" s="1">
        <v>3.1210896179999999E-6</v>
      </c>
      <c r="AJ8" s="5">
        <v>3.9219999310000002</v>
      </c>
      <c r="AK8" s="12"/>
      <c r="AL8" s="5">
        <v>192737.13618458199</v>
      </c>
      <c r="AM8" s="5">
        <v>4</v>
      </c>
      <c r="AN8" s="1">
        <v>3.128143869E-6</v>
      </c>
      <c r="AO8" s="5">
        <v>3.180999994</v>
      </c>
      <c r="AP8" s="5"/>
      <c r="AQ8" s="5">
        <v>192737.13334264699</v>
      </c>
      <c r="AR8" s="5">
        <v>4</v>
      </c>
      <c r="AS8" s="1">
        <v>2.696857081E-6</v>
      </c>
      <c r="AT8" s="5">
        <v>2.97300005</v>
      </c>
      <c r="AV8" s="5">
        <v>272793618.20537198</v>
      </c>
      <c r="AW8" s="5">
        <v>4</v>
      </c>
      <c r="AX8" s="1">
        <v>6.9146199999999998E-3</v>
      </c>
      <c r="AY8" s="5">
        <v>10.209</v>
      </c>
      <c r="AZ8" s="12"/>
      <c r="BA8" s="5">
        <v>272780216.57068199</v>
      </c>
      <c r="BB8" s="5">
        <v>4</v>
      </c>
      <c r="BC8" s="1">
        <v>6.9191000000000001E-3</v>
      </c>
      <c r="BD8" s="5">
        <v>8.2469999999999999</v>
      </c>
      <c r="BE8" s="12"/>
      <c r="BF8" s="5">
        <v>272109848.37402201</v>
      </c>
      <c r="BG8" s="5">
        <v>5</v>
      </c>
      <c r="BH8" s="1">
        <v>2.9838299999999998E-3</v>
      </c>
      <c r="BI8" s="5">
        <v>9.6379999999999999</v>
      </c>
      <c r="BJ8" s="12"/>
    </row>
    <row r="9" spans="1:62">
      <c r="A9" s="5">
        <v>1286032.1628350299</v>
      </c>
      <c r="B9" s="5">
        <v>5</v>
      </c>
      <c r="C9" s="1">
        <v>5.5979799999999997E-7</v>
      </c>
      <c r="D9" s="5">
        <v>1.0999999999999999E-2</v>
      </c>
      <c r="E9" s="12"/>
      <c r="F9" s="12">
        <v>1286032.1494152001</v>
      </c>
      <c r="G9" s="5">
        <v>5</v>
      </c>
      <c r="H9" s="1">
        <v>1.17884E-7</v>
      </c>
      <c r="I9" s="6">
        <v>0.03</v>
      </c>
      <c r="J9" s="12"/>
      <c r="K9" s="12">
        <v>1286032.25526038</v>
      </c>
      <c r="L9" s="5">
        <v>5</v>
      </c>
      <c r="M9" s="1">
        <v>2.4218599999999998E-6</v>
      </c>
      <c r="N9" s="12">
        <v>8.0000000000000002E-3</v>
      </c>
      <c r="O9" s="12"/>
      <c r="Q9" s="5">
        <v>16749235.201210201</v>
      </c>
      <c r="R9" s="5">
        <v>5</v>
      </c>
      <c r="S9" s="5">
        <v>1.2431101370000001E-4</v>
      </c>
      <c r="T9" s="5">
        <v>0.21600008009999999</v>
      </c>
      <c r="U9" s="12"/>
      <c r="V9" s="5">
        <v>16750041.8487275</v>
      </c>
      <c r="W9" s="5">
        <v>5</v>
      </c>
      <c r="X9" s="5">
        <v>1.6360507760000001E-4</v>
      </c>
      <c r="Y9" s="5">
        <v>0.1529998779</v>
      </c>
      <c r="Z9" s="12"/>
      <c r="AA9" s="5">
        <v>16749478.4069498</v>
      </c>
      <c r="AB9" s="5">
        <v>5</v>
      </c>
      <c r="AC9" s="5">
        <v>1.934470713E-4</v>
      </c>
      <c r="AD9" s="5">
        <v>0.14599990839999999</v>
      </c>
      <c r="AE9" s="12"/>
      <c r="AG9" s="5">
        <v>192737.056990401</v>
      </c>
      <c r="AH9" s="5">
        <v>5</v>
      </c>
      <c r="AI9" s="1">
        <v>9.1142161819999995E-8</v>
      </c>
      <c r="AJ9" s="5">
        <v>5.1749999520000003</v>
      </c>
      <c r="AK9" s="12"/>
      <c r="AL9" s="5">
        <v>192737.056965772</v>
      </c>
      <c r="AM9" s="5">
        <v>5</v>
      </c>
      <c r="AN9" s="1">
        <v>1.179237782E-7</v>
      </c>
      <c r="AO9" s="5">
        <v>3.9639999869999998</v>
      </c>
      <c r="AP9" s="5"/>
      <c r="AQ9" s="5">
        <v>192737.056055416</v>
      </c>
      <c r="AR9" s="5">
        <v>5</v>
      </c>
      <c r="AS9" s="1">
        <v>6.7443299289999997E-8</v>
      </c>
      <c r="AT9" s="5">
        <v>3.7730000019999999</v>
      </c>
      <c r="AV9" s="5">
        <v>272104732.07404798</v>
      </c>
      <c r="AW9" s="5">
        <v>5</v>
      </c>
      <c r="AX9" s="1">
        <v>2.9728100000000002E-3</v>
      </c>
      <c r="AY9" s="5">
        <v>12.055</v>
      </c>
      <c r="AZ9" s="12"/>
      <c r="BA9" s="5">
        <v>272099242.36693698</v>
      </c>
      <c r="BB9" s="5">
        <v>5</v>
      </c>
      <c r="BC9" s="1">
        <v>2.9244700000000002E-3</v>
      </c>
      <c r="BD9" s="5">
        <v>9.8569999999999993</v>
      </c>
      <c r="BE9" s="12"/>
      <c r="BF9" s="5">
        <v>271835243.49957198</v>
      </c>
      <c r="BG9" s="5">
        <v>6</v>
      </c>
      <c r="BH9" s="1">
        <v>1.3969200000000001E-3</v>
      </c>
      <c r="BI9" s="5">
        <v>11.125999999999999</v>
      </c>
      <c r="BJ9" s="12"/>
    </row>
    <row r="10" spans="1:62">
      <c r="A10" s="5">
        <v>1286032.1472120399</v>
      </c>
      <c r="B10" s="5">
        <v>6</v>
      </c>
      <c r="C10" s="1">
        <v>1.4852699999999999E-7</v>
      </c>
      <c r="D10" s="5">
        <v>4.4999999999999998E-2</v>
      </c>
      <c r="E10" s="12"/>
      <c r="F10" s="12">
        <v>1286032.1425999301</v>
      </c>
      <c r="G10" s="5">
        <v>6</v>
      </c>
      <c r="H10" s="1">
        <v>4.6145699999999997E-9</v>
      </c>
      <c r="I10" s="6">
        <v>4.9000000000000002E-2</v>
      </c>
      <c r="J10" s="6"/>
      <c r="K10" s="12">
        <v>1286032.1668481799</v>
      </c>
      <c r="L10" s="5">
        <v>6</v>
      </c>
      <c r="M10" s="1">
        <v>6.16176E-7</v>
      </c>
      <c r="N10" s="12">
        <v>1.7000000000000001E-2</v>
      </c>
      <c r="O10" s="12"/>
      <c r="Q10" s="5">
        <v>16748513.1259584</v>
      </c>
      <c r="R10" s="5">
        <v>6</v>
      </c>
      <c r="S10" s="1">
        <v>3.1800673849999997E-5</v>
      </c>
      <c r="T10" s="5">
        <v>0.25400018689999998</v>
      </c>
      <c r="U10" s="12"/>
      <c r="V10" s="5">
        <v>16748770.6977643</v>
      </c>
      <c r="W10" s="5">
        <v>6</v>
      </c>
      <c r="X10" s="1">
        <v>5.0038886910000002E-5</v>
      </c>
      <c r="Y10" s="5">
        <v>0.1729998589</v>
      </c>
      <c r="Z10" s="12"/>
      <c r="AA10" s="5">
        <v>16748610.0797369</v>
      </c>
      <c r="AB10" s="5">
        <v>6</v>
      </c>
      <c r="AC10" s="1">
        <v>5.0878391039999999E-5</v>
      </c>
      <c r="AD10" s="5">
        <v>0.1629998684</v>
      </c>
      <c r="AE10" s="12"/>
      <c r="AG10" s="5">
        <v>192737.05533168299</v>
      </c>
      <c r="AH10" s="5">
        <v>6</v>
      </c>
      <c r="AI10" s="1">
        <v>1.9581807529999998E-9</v>
      </c>
      <c r="AJ10" s="5">
        <v>7.2939999100000001</v>
      </c>
      <c r="AK10" s="12"/>
      <c r="AL10" s="5">
        <v>192737.055325678</v>
      </c>
      <c r="AM10" s="5">
        <v>6</v>
      </c>
      <c r="AN10" s="1">
        <v>2.5721814369999999E-9</v>
      </c>
      <c r="AO10" s="5">
        <v>5.1019999980000001</v>
      </c>
      <c r="AP10" s="5"/>
      <c r="AQ10" s="5">
        <v>192737.055322259</v>
      </c>
      <c r="AR10" s="5">
        <v>6</v>
      </c>
      <c r="AS10" s="1">
        <v>1.3569012760000001E-9</v>
      </c>
      <c r="AT10" s="5">
        <v>4.9739999770000001</v>
      </c>
      <c r="AV10" s="5">
        <v>271815666.85801202</v>
      </c>
      <c r="AW10" s="5">
        <v>6</v>
      </c>
      <c r="AX10" s="1">
        <v>1.3198699999999999E-3</v>
      </c>
      <c r="AY10" s="5">
        <v>14.141999999999999</v>
      </c>
      <c r="AZ10" s="12"/>
      <c r="BA10" s="5">
        <v>271823007.84892303</v>
      </c>
      <c r="BB10" s="5">
        <v>6</v>
      </c>
      <c r="BC10" s="1">
        <v>1.3407200000000001E-3</v>
      </c>
      <c r="BD10" s="5">
        <v>11.474</v>
      </c>
      <c r="BE10" s="12"/>
      <c r="BF10" s="5">
        <v>271716644.25344199</v>
      </c>
      <c r="BG10" s="5">
        <v>7</v>
      </c>
      <c r="BH10" s="1">
        <v>6.5829599999999995E-4</v>
      </c>
      <c r="BI10" s="5">
        <v>12.645</v>
      </c>
      <c r="BJ10" s="12"/>
    </row>
    <row r="11" spans="1:62">
      <c r="A11" s="5">
        <v>1286032.1427277001</v>
      </c>
      <c r="B11" s="5">
        <v>7</v>
      </c>
      <c r="C11" s="1">
        <v>4.9499199999999998E-9</v>
      </c>
      <c r="D11" s="5">
        <v>0.06</v>
      </c>
      <c r="E11" s="12"/>
      <c r="F11" s="12">
        <v>1286032.1424394499</v>
      </c>
      <c r="G11" s="5">
        <v>7</v>
      </c>
      <c r="H11" s="1">
        <v>3.3470499999999998E-10</v>
      </c>
      <c r="I11" s="6">
        <v>6.8000000000000005E-2</v>
      </c>
      <c r="J11" s="6"/>
      <c r="K11" s="12">
        <v>1286032.1546592801</v>
      </c>
      <c r="L11" s="5">
        <v>7</v>
      </c>
      <c r="M11" s="1">
        <v>4.4703299999999998E-7</v>
      </c>
      <c r="N11" s="12">
        <v>1.7999999999999999E-2</v>
      </c>
      <c r="O11" s="12"/>
      <c r="Q11" s="5">
        <v>16748442.452348201</v>
      </c>
      <c r="R11" s="5">
        <v>7</v>
      </c>
      <c r="S11" s="1">
        <v>3.3888457409999999E-6</v>
      </c>
      <c r="T11" s="5">
        <v>0.28800010679999999</v>
      </c>
      <c r="U11" s="12"/>
      <c r="V11" s="5">
        <v>16748451.390567301</v>
      </c>
      <c r="W11" s="5">
        <v>7</v>
      </c>
      <c r="X11" s="1">
        <v>1.3694169750000001E-5</v>
      </c>
      <c r="Y11" s="5">
        <v>0.1949999332</v>
      </c>
      <c r="Z11" s="12"/>
      <c r="AA11" s="5">
        <v>16748465.2547267</v>
      </c>
      <c r="AB11" s="5">
        <v>7</v>
      </c>
      <c r="AC11" s="1">
        <v>1.162190453E-5</v>
      </c>
      <c r="AD11" s="5">
        <v>0.18199992179999999</v>
      </c>
      <c r="AE11" s="12"/>
      <c r="AG11" s="5">
        <v>192737.055319648</v>
      </c>
      <c r="AH11" s="5">
        <v>7</v>
      </c>
      <c r="AI11" s="1">
        <v>3.9271493659999998E-11</v>
      </c>
      <c r="AJ11" s="5">
        <v>9.6089999679999991</v>
      </c>
      <c r="AK11" s="12"/>
      <c r="AL11" s="5">
        <v>192737.05531963901</v>
      </c>
      <c r="AM11" s="5">
        <v>7</v>
      </c>
      <c r="AN11" s="1">
        <v>5.0344899360000003E-11</v>
      </c>
      <c r="AO11" s="5">
        <v>6.433000088</v>
      </c>
      <c r="AP11" s="5"/>
      <c r="AQ11" s="5">
        <v>192737.05531964</v>
      </c>
      <c r="AR11" s="5">
        <v>7</v>
      </c>
      <c r="AS11" s="1">
        <v>2.8029552640000001E-11</v>
      </c>
      <c r="AT11" s="5">
        <v>6.5340001579999996</v>
      </c>
      <c r="AV11" s="5">
        <v>271702189.272385</v>
      </c>
      <c r="AW11" s="5">
        <v>7</v>
      </c>
      <c r="AX11" s="1">
        <v>5.8695600000000002E-4</v>
      </c>
      <c r="AY11" s="5">
        <v>15.986000000000001</v>
      </c>
      <c r="AZ11" s="12"/>
      <c r="BA11" s="5">
        <v>271703735.26064098</v>
      </c>
      <c r="BB11" s="5">
        <v>7</v>
      </c>
      <c r="BC11" s="1">
        <v>6.1939299999999998E-4</v>
      </c>
      <c r="BD11" s="5">
        <v>13.039</v>
      </c>
      <c r="BE11" s="12"/>
      <c r="BF11" s="5">
        <v>271651950.26994902</v>
      </c>
      <c r="BG11" s="5">
        <v>8</v>
      </c>
      <c r="BH11" s="1">
        <v>3.0614800000000001E-4</v>
      </c>
      <c r="BI11" s="5">
        <v>14.518000000000001</v>
      </c>
      <c r="BJ11" s="12"/>
    </row>
    <row r="12" spans="1:62">
      <c r="A12" s="5">
        <v>1286032.1424362401</v>
      </c>
      <c r="B12" s="5">
        <v>8</v>
      </c>
      <c r="C12" s="1">
        <v>2.4123999999999999E-10</v>
      </c>
      <c r="D12" s="5">
        <v>7.8E-2</v>
      </c>
      <c r="E12" s="12"/>
      <c r="F12" s="12">
        <v>1286032.14243653</v>
      </c>
      <c r="G12" s="5">
        <v>8</v>
      </c>
      <c r="H12" s="1">
        <v>1.05246E-10</v>
      </c>
      <c r="I12" s="6">
        <v>8.6999999999999994E-2</v>
      </c>
      <c r="J12" s="6"/>
      <c r="K12" s="12">
        <v>1286032.1467323001</v>
      </c>
      <c r="L12" s="5">
        <v>8</v>
      </c>
      <c r="M12" s="1">
        <v>1.4219500000000001E-7</v>
      </c>
      <c r="N12" s="12">
        <v>3.4000000000000002E-2</v>
      </c>
      <c r="O12" s="12"/>
      <c r="Q12" s="5">
        <v>16748438.640750799</v>
      </c>
      <c r="R12" s="5">
        <v>8</v>
      </c>
      <c r="S12" s="1">
        <v>6.278430336E-7</v>
      </c>
      <c r="T12" s="5">
        <v>0.32599997520000001</v>
      </c>
      <c r="U12" s="12"/>
      <c r="V12" s="5">
        <v>16748439.124790801</v>
      </c>
      <c r="W12" s="5">
        <v>8</v>
      </c>
      <c r="X12" s="1">
        <v>2.9831181289999999E-6</v>
      </c>
      <c r="Y12" s="5">
        <v>0.21700000759999999</v>
      </c>
      <c r="Z12" s="12"/>
      <c r="AA12" s="5">
        <v>16748439.247029999</v>
      </c>
      <c r="AB12" s="5">
        <v>8</v>
      </c>
      <c r="AC12" s="1">
        <v>1.9572306240000002E-6</v>
      </c>
      <c r="AD12" s="5">
        <v>0.21000003810000001</v>
      </c>
      <c r="AE12" s="12"/>
      <c r="AG12" s="5">
        <v>192737.055319623</v>
      </c>
      <c r="AH12" s="5">
        <v>8</v>
      </c>
      <c r="AI12" s="1">
        <v>7.8368702590000004E-13</v>
      </c>
      <c r="AJ12" s="5">
        <v>11.917999979999999</v>
      </c>
      <c r="AK12" s="12"/>
      <c r="AL12" s="5">
        <v>192737.055319623</v>
      </c>
      <c r="AM12" s="5">
        <v>8</v>
      </c>
      <c r="AN12" s="1">
        <v>8.5339591300000003E-13</v>
      </c>
      <c r="AO12" s="5">
        <v>7.7469999789999999</v>
      </c>
      <c r="AP12" s="5"/>
      <c r="AQ12" s="5">
        <v>192737.05531962501</v>
      </c>
      <c r="AR12" s="5">
        <v>8</v>
      </c>
      <c r="AS12" s="1">
        <v>6.7718503329999996E-13</v>
      </c>
      <c r="AT12" s="5">
        <v>8.3190000059999996</v>
      </c>
      <c r="AV12" s="5">
        <v>271642382.60109597</v>
      </c>
      <c r="AW12" s="5">
        <v>8</v>
      </c>
      <c r="AX12" s="1">
        <v>2.3744400000000001E-4</v>
      </c>
      <c r="AY12" s="5">
        <v>19.75</v>
      </c>
      <c r="AZ12" s="12"/>
      <c r="BA12" s="5">
        <v>271644496.96633101</v>
      </c>
      <c r="BB12" s="5">
        <v>8</v>
      </c>
      <c r="BC12" s="1">
        <v>2.3067899999999999E-4</v>
      </c>
      <c r="BD12" s="5">
        <v>15.478</v>
      </c>
      <c r="BE12" s="12"/>
      <c r="BF12" s="5">
        <v>271635968.14648598</v>
      </c>
      <c r="BG12" s="5">
        <v>9</v>
      </c>
      <c r="BH12" s="1">
        <v>8.4581799999999997E-5</v>
      </c>
      <c r="BI12" s="5">
        <v>16.542000000000002</v>
      </c>
      <c r="BJ12" s="12"/>
    </row>
    <row r="13" spans="1:62">
      <c r="A13" s="5">
        <v>1286032.1424356799</v>
      </c>
      <c r="B13" s="5">
        <v>9</v>
      </c>
      <c r="C13" s="1">
        <v>3.2162299999999998E-11</v>
      </c>
      <c r="D13" s="5">
        <v>9.4E-2</v>
      </c>
      <c r="E13" s="12"/>
      <c r="F13" s="12">
        <v>1286032.1424358599</v>
      </c>
      <c r="G13" s="5">
        <v>9</v>
      </c>
      <c r="H13" s="1">
        <v>5.0850200000000003E-11</v>
      </c>
      <c r="I13" s="6">
        <v>0.104</v>
      </c>
      <c r="J13" s="12"/>
      <c r="K13" s="12">
        <v>1286032.1426482201</v>
      </c>
      <c r="L13" s="5">
        <v>9</v>
      </c>
      <c r="M13" s="1">
        <v>6.0246000000000001E-9</v>
      </c>
      <c r="N13" s="12">
        <v>0.04</v>
      </c>
      <c r="O13" s="12"/>
      <c r="Q13" s="5">
        <v>16748438.6011247</v>
      </c>
      <c r="R13" s="5">
        <v>9</v>
      </c>
      <c r="S13" s="1">
        <v>1.1729659960000001E-7</v>
      </c>
      <c r="T13" s="5">
        <v>0.36199998859999999</v>
      </c>
      <c r="U13" s="12"/>
      <c r="V13" s="5">
        <v>16748438.6828683</v>
      </c>
      <c r="W13" s="5">
        <v>9</v>
      </c>
      <c r="X13" s="1">
        <v>4.8496291129999995E-7</v>
      </c>
      <c r="Y13" s="5">
        <v>0.24099993710000001</v>
      </c>
      <c r="Z13" s="12"/>
      <c r="AA13" s="5">
        <v>16748438.6735777</v>
      </c>
      <c r="AB13" s="5">
        <v>9</v>
      </c>
      <c r="AC13" s="1">
        <v>4.1028159730000003E-7</v>
      </c>
      <c r="AD13" s="5">
        <v>0.2339999676</v>
      </c>
      <c r="AE13" s="12"/>
      <c r="AV13" s="5">
        <v>271633625.28774399</v>
      </c>
      <c r="AW13" s="5">
        <v>9</v>
      </c>
      <c r="AX13" s="1">
        <v>4.8102600000000003E-5</v>
      </c>
      <c r="AY13" s="5">
        <v>22.902000000000001</v>
      </c>
      <c r="AZ13" s="12"/>
      <c r="BA13" s="5">
        <v>271633608.92870402</v>
      </c>
      <c r="BB13" s="5">
        <v>9</v>
      </c>
      <c r="BC13" s="1">
        <v>4.4060100000000002E-5</v>
      </c>
      <c r="BD13" s="5">
        <v>17.943000000000001</v>
      </c>
      <c r="BE13" s="12"/>
      <c r="BF13" s="5">
        <v>271631851.70337802</v>
      </c>
      <c r="BG13" s="5">
        <v>10</v>
      </c>
      <c r="BH13" s="1">
        <v>1.9130000000000001E-5</v>
      </c>
      <c r="BI13" s="5">
        <v>20.587</v>
      </c>
      <c r="BJ13" s="12"/>
    </row>
    <row r="14" spans="1:62">
      <c r="A14" s="5">
        <v>1286032.1424356201</v>
      </c>
      <c r="B14" s="5">
        <v>10</v>
      </c>
      <c r="C14" s="1">
        <v>9.9090399999999995E-12</v>
      </c>
      <c r="D14" s="5">
        <v>0.127</v>
      </c>
      <c r="E14" s="12"/>
      <c r="F14" s="12">
        <v>1286032.1424356799</v>
      </c>
      <c r="G14" s="5">
        <v>10</v>
      </c>
      <c r="H14" s="1">
        <v>2.6027199999999999E-11</v>
      </c>
      <c r="I14" s="6">
        <v>0.122</v>
      </c>
      <c r="J14" s="12"/>
      <c r="K14" s="12">
        <v>1286032.1424376499</v>
      </c>
      <c r="L14" s="5">
        <v>10</v>
      </c>
      <c r="M14" s="1">
        <v>3.0228899999999999E-10</v>
      </c>
      <c r="N14" s="12">
        <v>6.0999999999999999E-2</v>
      </c>
      <c r="O14" s="12"/>
      <c r="Q14" s="5">
        <v>16748438.6000834</v>
      </c>
      <c r="R14" s="5">
        <v>10</v>
      </c>
      <c r="S14" s="1">
        <v>2.9384545489999999E-8</v>
      </c>
      <c r="T14" s="5">
        <v>0.40000009539999998</v>
      </c>
      <c r="U14" s="12"/>
      <c r="V14" s="5">
        <v>16748438.601146299</v>
      </c>
      <c r="W14" s="5">
        <v>10</v>
      </c>
      <c r="X14" s="1">
        <v>9.2383108210000004E-8</v>
      </c>
      <c r="Y14" s="5">
        <v>0.26699995989999997</v>
      </c>
      <c r="Z14" s="12"/>
      <c r="AA14" s="5">
        <v>16748438.6561465</v>
      </c>
      <c r="AB14" s="5">
        <v>10</v>
      </c>
      <c r="AC14" s="1">
        <v>5.9939640219999997E-8</v>
      </c>
      <c r="AD14" s="5">
        <v>0.28900003429999999</v>
      </c>
      <c r="AE14" s="12"/>
      <c r="AV14" s="5">
        <v>271631622.11115801</v>
      </c>
      <c r="AW14" s="5">
        <v>10</v>
      </c>
      <c r="AX14" s="1">
        <v>8.6038200000000002E-6</v>
      </c>
      <c r="AY14" s="5">
        <v>28.654</v>
      </c>
      <c r="AZ14" s="12"/>
      <c r="BA14" s="5">
        <v>271631521.654966</v>
      </c>
      <c r="BB14" s="5">
        <v>10</v>
      </c>
      <c r="BC14" s="1">
        <v>6.6499700000000003E-6</v>
      </c>
      <c r="BD14" s="5">
        <v>21.96</v>
      </c>
      <c r="BE14" s="12"/>
      <c r="BF14" s="5">
        <v>271631398.80031198</v>
      </c>
      <c r="BG14" s="5">
        <v>11</v>
      </c>
      <c r="BH14" s="1">
        <v>2.1635000000000001E-6</v>
      </c>
      <c r="BI14" s="5">
        <v>24.96</v>
      </c>
      <c r="BJ14" s="12"/>
    </row>
    <row r="15" spans="1:62">
      <c r="A15" s="5">
        <v>1286032.1424356101</v>
      </c>
      <c r="B15" s="5">
        <v>11</v>
      </c>
      <c r="C15" s="1">
        <v>3.42842E-12</v>
      </c>
      <c r="D15" s="5">
        <v>0.158</v>
      </c>
      <c r="E15" s="12"/>
      <c r="F15" s="12">
        <v>1286032.1424356301</v>
      </c>
      <c r="G15" s="5">
        <v>11</v>
      </c>
      <c r="H15" s="1">
        <v>1.33603E-11</v>
      </c>
      <c r="I15" s="6">
        <v>0.13900000000000001</v>
      </c>
      <c r="J15" s="12"/>
      <c r="K15" s="12">
        <v>1286032.1424356699</v>
      </c>
      <c r="L15" s="5">
        <v>11</v>
      </c>
      <c r="M15" s="1">
        <v>3.2172699999999998E-11</v>
      </c>
      <c r="N15" s="12">
        <v>7.4999999999999997E-2</v>
      </c>
      <c r="O15" s="6"/>
      <c r="Q15" s="5">
        <v>16748438.600013601</v>
      </c>
      <c r="R15" s="5">
        <v>11</v>
      </c>
      <c r="S15" s="1">
        <v>5.5751571039999997E-9</v>
      </c>
      <c r="T15" s="5">
        <v>0.43400001529999999</v>
      </c>
      <c r="U15" s="12"/>
      <c r="V15" s="5">
        <v>16748438.6000467</v>
      </c>
      <c r="W15" s="5">
        <v>11</v>
      </c>
      <c r="X15" s="1">
        <v>2.3282910069999999E-8</v>
      </c>
      <c r="Y15" s="5">
        <v>0.29900002479999999</v>
      </c>
      <c r="Z15" s="12"/>
      <c r="AA15" s="5">
        <v>16748438.6160284</v>
      </c>
      <c r="AB15" s="5">
        <v>11</v>
      </c>
      <c r="AC15" s="1">
        <v>3.6144233669999998E-8</v>
      </c>
      <c r="AD15" s="5">
        <v>0.34099984169999997</v>
      </c>
      <c r="AE15" s="12"/>
      <c r="AV15" s="5">
        <v>271631368.37590098</v>
      </c>
      <c r="AW15" s="5">
        <v>11</v>
      </c>
      <c r="AX15" s="1">
        <v>9.7720300000000002E-7</v>
      </c>
      <c r="AY15" s="5">
        <v>37.258000000000003</v>
      </c>
      <c r="AZ15" s="12"/>
      <c r="BA15" s="5">
        <v>271631364.05782002</v>
      </c>
      <c r="BB15" s="5">
        <v>11</v>
      </c>
      <c r="BC15" s="1">
        <v>5.5899100000000003E-7</v>
      </c>
      <c r="BD15" s="5">
        <v>28.271999999999998</v>
      </c>
      <c r="BE15" s="12"/>
      <c r="BF15" s="5">
        <v>271631360.23513901</v>
      </c>
      <c r="BG15" s="5">
        <v>12</v>
      </c>
      <c r="BH15" s="1">
        <v>2.07194E-7</v>
      </c>
      <c r="BI15" s="5">
        <v>31.507999999999999</v>
      </c>
      <c r="BJ15" s="12"/>
    </row>
    <row r="16" spans="1:62">
      <c r="A16" s="5">
        <v>1286032.1424356101</v>
      </c>
      <c r="B16" s="5">
        <v>12</v>
      </c>
      <c r="C16" s="1">
        <v>1.1973600000000001E-12</v>
      </c>
      <c r="D16" s="5">
        <v>0.17399999999999999</v>
      </c>
      <c r="E16" s="12"/>
      <c r="F16" s="12">
        <v>1286032.1424356201</v>
      </c>
      <c r="G16" s="5">
        <v>12</v>
      </c>
      <c r="H16" s="1">
        <v>6.8910899999999999E-12</v>
      </c>
      <c r="I16" s="6">
        <v>0.16700000000000001</v>
      </c>
      <c r="J16" s="12"/>
      <c r="K16" s="12">
        <v>1286032.1424356201</v>
      </c>
      <c r="L16" s="5">
        <v>12</v>
      </c>
      <c r="M16" s="1">
        <v>8.8955900000000001E-12</v>
      </c>
      <c r="N16" s="12">
        <v>8.2000000000000003E-2</v>
      </c>
      <c r="O16" s="6"/>
      <c r="Q16" s="5">
        <v>16748438.6000106</v>
      </c>
      <c r="R16" s="5">
        <v>12</v>
      </c>
      <c r="S16" s="1">
        <v>7.9975324599999998E-10</v>
      </c>
      <c r="T16" s="5">
        <v>0.47000002860000001</v>
      </c>
      <c r="U16" s="12"/>
      <c r="V16" s="5">
        <v>16748438.600012301</v>
      </c>
      <c r="W16" s="5">
        <v>12</v>
      </c>
      <c r="X16" s="1">
        <v>2.0058995430000001E-8</v>
      </c>
      <c r="Y16" s="5">
        <v>0.33099985119999997</v>
      </c>
      <c r="Z16" s="12"/>
      <c r="AA16" s="5">
        <v>16748438.6160284</v>
      </c>
      <c r="AB16" s="5">
        <v>12</v>
      </c>
      <c r="AC16" s="1">
        <v>2.5640779690000001E-8</v>
      </c>
      <c r="AD16" s="5">
        <v>0.49699997899999998</v>
      </c>
      <c r="AE16" s="12"/>
      <c r="AV16" s="5">
        <v>271631357.98628002</v>
      </c>
      <c r="AW16" s="5">
        <v>12</v>
      </c>
      <c r="AX16" s="1">
        <v>8.7953099999999999E-8</v>
      </c>
      <c r="AY16" s="5">
        <v>46.642000000000003</v>
      </c>
      <c r="AZ16" s="12"/>
      <c r="BA16" s="5">
        <v>271631357.47229099</v>
      </c>
      <c r="BB16" s="5">
        <v>12</v>
      </c>
      <c r="BC16" s="1">
        <v>4.8140800000000003E-8</v>
      </c>
      <c r="BD16" s="5">
        <v>35.341000000000001</v>
      </c>
      <c r="BE16" s="12"/>
      <c r="BF16" s="5">
        <v>271631357.783925</v>
      </c>
      <c r="BG16" s="5">
        <v>13</v>
      </c>
      <c r="BH16" s="1">
        <v>1.85883E-7</v>
      </c>
      <c r="BI16" s="5">
        <v>41.655000000000001</v>
      </c>
      <c r="BJ16" s="12"/>
    </row>
    <row r="17" spans="1:62">
      <c r="A17" s="5">
        <v>1286032.1424356101</v>
      </c>
      <c r="B17" s="5">
        <v>13</v>
      </c>
      <c r="C17" s="1">
        <v>4.1898599999999998E-13</v>
      </c>
      <c r="D17" s="5">
        <v>0.20499999999999999</v>
      </c>
      <c r="E17" s="12"/>
      <c r="F17" s="12">
        <v>1286032.1424356201</v>
      </c>
      <c r="G17" s="5">
        <v>13</v>
      </c>
      <c r="H17" s="1">
        <v>3.5386500000000001E-12</v>
      </c>
      <c r="I17" s="6">
        <v>0.185</v>
      </c>
      <c r="J17" s="12"/>
      <c r="K17" s="12">
        <v>1286032.1424356101</v>
      </c>
      <c r="L17" s="5">
        <v>13</v>
      </c>
      <c r="M17" s="1">
        <v>3.0111800000000001E-12</v>
      </c>
      <c r="N17" s="12">
        <v>9.8000000000000004E-2</v>
      </c>
      <c r="O17" s="6"/>
      <c r="Q17" s="5">
        <v>16748438.600010499</v>
      </c>
      <c r="R17" s="5">
        <v>13</v>
      </c>
      <c r="S17" s="1">
        <v>1.11217994E-10</v>
      </c>
      <c r="T17" s="5">
        <v>0.51600003240000003</v>
      </c>
      <c r="U17" s="12"/>
      <c r="V17" s="5">
        <v>16748438.600012301</v>
      </c>
      <c r="W17" s="5">
        <v>13</v>
      </c>
      <c r="X17" s="1">
        <v>1.070053584E-8</v>
      </c>
      <c r="Y17" s="5">
        <v>0.71599984169999997</v>
      </c>
      <c r="Z17" s="12"/>
      <c r="AA17" s="5">
        <v>16748438.600013699</v>
      </c>
      <c r="AB17" s="5">
        <v>13</v>
      </c>
      <c r="AC17" s="1">
        <v>2.5611179750000001E-9</v>
      </c>
      <c r="AD17" s="5">
        <v>0.56699991230000002</v>
      </c>
      <c r="AE17" s="12"/>
      <c r="AV17" s="5">
        <v>271631357.31795001</v>
      </c>
      <c r="AW17" s="5">
        <v>13</v>
      </c>
      <c r="AX17" s="1">
        <v>7.7755699999999999E-9</v>
      </c>
      <c r="AY17" s="5">
        <v>56.670999999999999</v>
      </c>
      <c r="AZ17" s="12"/>
      <c r="BA17" s="5">
        <v>271631357.314668</v>
      </c>
      <c r="BB17" s="5">
        <v>13</v>
      </c>
      <c r="BC17" s="1">
        <v>3.8421600000000003E-9</v>
      </c>
      <c r="BD17" s="5">
        <v>42.561</v>
      </c>
      <c r="BE17" s="12"/>
      <c r="BF17" s="5">
        <v>271631357.41031402</v>
      </c>
      <c r="BG17" s="5">
        <v>14</v>
      </c>
      <c r="BH17" s="1">
        <v>2.2202400000000001E-8</v>
      </c>
      <c r="BI17" s="5">
        <v>50.127000000000002</v>
      </c>
      <c r="BJ17" s="12"/>
    </row>
    <row r="18" spans="1:62">
      <c r="A18" s="5"/>
      <c r="B18" s="5"/>
      <c r="C18" s="5"/>
      <c r="D18" s="5"/>
      <c r="E18" s="12"/>
      <c r="F18" s="12">
        <v>1286032.1424356101</v>
      </c>
      <c r="G18" s="5">
        <v>14</v>
      </c>
      <c r="H18" s="1">
        <v>1.81758E-12</v>
      </c>
      <c r="I18" s="6">
        <v>0.20300000000000001</v>
      </c>
      <c r="J18" s="12"/>
      <c r="K18" s="12">
        <v>1286032.1424356101</v>
      </c>
      <c r="L18" s="5">
        <v>14</v>
      </c>
      <c r="M18" s="1">
        <v>1.04826E-12</v>
      </c>
      <c r="N18" s="12">
        <v>0.114</v>
      </c>
      <c r="O18" s="6"/>
      <c r="Q18" s="5">
        <v>16748438.600010499</v>
      </c>
      <c r="R18" s="5">
        <v>14</v>
      </c>
      <c r="S18" s="1">
        <v>2.0675901199999999E-11</v>
      </c>
      <c r="T18" s="5">
        <v>0.55900001529999999</v>
      </c>
      <c r="U18" s="12"/>
      <c r="V18" s="5">
        <v>16748438.600012301</v>
      </c>
      <c r="W18" s="5">
        <v>14</v>
      </c>
      <c r="X18" s="1">
        <v>3.1166184240000001E-9</v>
      </c>
      <c r="Y18" s="5">
        <v>0.83500003810000001</v>
      </c>
      <c r="Z18" s="12"/>
      <c r="AA18" s="5">
        <v>16748438.600013699</v>
      </c>
      <c r="AB18" s="5">
        <v>14</v>
      </c>
      <c r="AC18" s="1">
        <v>2.5611179750000001E-9</v>
      </c>
      <c r="AD18" s="5">
        <v>0.78900003429999999</v>
      </c>
      <c r="AE18" s="12"/>
      <c r="AV18" s="5">
        <v>271631357.31318003</v>
      </c>
      <c r="AW18" s="5">
        <v>14</v>
      </c>
      <c r="AX18" s="1">
        <v>6.5173300000000001E-10</v>
      </c>
      <c r="AY18" s="5">
        <v>67.393000000000001</v>
      </c>
      <c r="AZ18" s="12"/>
      <c r="BA18" s="5">
        <v>271631357.31313998</v>
      </c>
      <c r="BB18" s="5">
        <v>14</v>
      </c>
      <c r="BC18" s="1">
        <v>3.8054100000000002E-10</v>
      </c>
      <c r="BD18" s="5">
        <v>50.892000000000003</v>
      </c>
      <c r="BE18" s="12"/>
      <c r="BF18" s="5">
        <v>271631357.38422698</v>
      </c>
      <c r="BG18" s="5">
        <v>15</v>
      </c>
      <c r="BH18" s="1">
        <v>4.67805E-9</v>
      </c>
      <c r="BI18" s="5">
        <v>64.301000000000002</v>
      </c>
      <c r="BJ18" s="12"/>
    </row>
    <row r="19" spans="1:62">
      <c r="A19" s="5"/>
      <c r="B19" s="5"/>
      <c r="C19" s="5"/>
      <c r="D19" s="5"/>
      <c r="E19" s="12"/>
      <c r="F19" s="12">
        <v>1286032.1424356101</v>
      </c>
      <c r="G19" s="5">
        <v>15</v>
      </c>
      <c r="H19" s="1">
        <v>9.382239999999999E-13</v>
      </c>
      <c r="I19" s="6">
        <v>0.22</v>
      </c>
      <c r="J19" s="6"/>
      <c r="K19" s="12">
        <v>1286032.1424356101</v>
      </c>
      <c r="L19" s="5">
        <v>15</v>
      </c>
      <c r="M19" s="1">
        <v>4.0092499999999998E-13</v>
      </c>
      <c r="N19" s="12">
        <v>0.129</v>
      </c>
      <c r="O19" s="6"/>
      <c r="Q19" s="5">
        <v>16748438.600010499</v>
      </c>
      <c r="R19" s="5">
        <v>15</v>
      </c>
      <c r="S19" s="1">
        <v>3.1608510840000001E-12</v>
      </c>
      <c r="T19" s="5">
        <v>0.60600018499999997</v>
      </c>
      <c r="U19" s="12"/>
      <c r="V19" s="5">
        <v>16748438.600012301</v>
      </c>
      <c r="W19" s="5">
        <v>15</v>
      </c>
      <c r="X19" s="1">
        <v>2.6697132170000001E-9</v>
      </c>
      <c r="Y19" s="5">
        <v>0.95099997520000001</v>
      </c>
      <c r="Z19" s="12"/>
      <c r="AA19" s="5">
        <v>16748438.600013699</v>
      </c>
      <c r="AB19" s="5">
        <v>15</v>
      </c>
      <c r="AC19" s="1">
        <v>2.5611179750000001E-9</v>
      </c>
      <c r="AD19" s="5">
        <v>0.92599987979999998</v>
      </c>
      <c r="AE19" s="12"/>
      <c r="AV19" s="5">
        <v>271631357.31309998</v>
      </c>
      <c r="AW19" s="5">
        <v>15</v>
      </c>
      <c r="AX19" s="1">
        <v>5.4440000000000001E-11</v>
      </c>
      <c r="AY19" s="5">
        <v>78.123999999999995</v>
      </c>
      <c r="AZ19" s="12"/>
      <c r="BA19" s="5">
        <v>271631357.31309801</v>
      </c>
      <c r="BB19" s="5">
        <v>15</v>
      </c>
      <c r="BC19" s="1">
        <v>3.4464900000000001E-11</v>
      </c>
      <c r="BD19" s="5">
        <v>58.921999999999997</v>
      </c>
      <c r="BE19" s="12"/>
      <c r="BF19" s="10">
        <v>271631357.37424302</v>
      </c>
      <c r="BG19" s="10">
        <v>16</v>
      </c>
      <c r="BH19" s="9">
        <v>6.1119400000000003E-9</v>
      </c>
      <c r="BI19" s="10">
        <v>96.227000000000004</v>
      </c>
      <c r="BJ19" s="12"/>
    </row>
    <row r="20" spans="1:62">
      <c r="E20" s="12"/>
      <c r="J20" s="6"/>
      <c r="N20" s="6"/>
      <c r="O20" s="6"/>
      <c r="Q20" s="5">
        <v>16748438.600010499</v>
      </c>
      <c r="R20" s="5">
        <v>16</v>
      </c>
      <c r="S20" s="1">
        <v>6.3057203769999997E-13</v>
      </c>
      <c r="T20" s="5">
        <v>0.65100002290000003</v>
      </c>
      <c r="U20" s="12"/>
      <c r="V20" s="5">
        <v>16748438.600010701</v>
      </c>
      <c r="W20" s="5">
        <v>16</v>
      </c>
      <c r="X20" s="1">
        <v>8.9367672039999996E-10</v>
      </c>
      <c r="Y20" s="5">
        <v>0.9900000095</v>
      </c>
      <c r="Z20" s="12"/>
      <c r="AA20" s="4">
        <v>16748438.600013699</v>
      </c>
      <c r="AB20" s="4">
        <v>16</v>
      </c>
      <c r="AC20" s="11">
        <v>2.5611179750000001E-9</v>
      </c>
      <c r="AD20" s="4">
        <v>1</v>
      </c>
      <c r="AE20" s="12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U20" s="3"/>
      <c r="AV20" s="5">
        <v>271631357.31309903</v>
      </c>
      <c r="AW20" s="5">
        <v>16</v>
      </c>
      <c r="AX20" s="1">
        <v>4.5487500000000004E-12</v>
      </c>
      <c r="AY20" s="5">
        <v>89.37</v>
      </c>
      <c r="AZ20" s="12"/>
      <c r="BA20" s="5">
        <v>271631357.313097</v>
      </c>
      <c r="BB20" s="5">
        <v>16</v>
      </c>
      <c r="BC20" s="9">
        <v>2.92485E-12</v>
      </c>
      <c r="BD20" s="10">
        <v>67.95</v>
      </c>
      <c r="BE20" s="12"/>
      <c r="BF20" s="10">
        <v>271631357.37424302</v>
      </c>
      <c r="BG20" s="10">
        <v>17</v>
      </c>
      <c r="BH20" s="9">
        <v>5.8005200000000001E-9</v>
      </c>
      <c r="BI20" s="10">
        <v>142.32300000000001</v>
      </c>
      <c r="BJ20" s="12"/>
    </row>
    <row r="21" spans="1:62">
      <c r="J21" s="6"/>
      <c r="V21" s="5">
        <v>16748438.600010499</v>
      </c>
      <c r="W21" s="5">
        <v>17</v>
      </c>
      <c r="X21" s="1">
        <v>1.8577501779999999E-10</v>
      </c>
      <c r="Y21" s="5">
        <v>1.0499999520000001</v>
      </c>
      <c r="Z21" s="12"/>
      <c r="AA21" s="5">
        <v>16748438.600013699</v>
      </c>
      <c r="AB21" s="5">
        <v>17</v>
      </c>
      <c r="AC21" s="1">
        <v>2.5611179750000001E-9</v>
      </c>
      <c r="AD21" s="5">
        <v>1.1169998649999999</v>
      </c>
      <c r="AE21" s="12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U21" s="3"/>
      <c r="AV21" s="5">
        <v>271631357.31309903</v>
      </c>
      <c r="AW21" s="5">
        <v>17</v>
      </c>
      <c r="AX21" s="1">
        <v>3.9070100000000001E-13</v>
      </c>
      <c r="AY21" s="5">
        <v>101.836</v>
      </c>
      <c r="AZ21" s="12"/>
      <c r="BA21" s="5">
        <v>271631357.313097</v>
      </c>
      <c r="BB21" s="5">
        <v>17</v>
      </c>
      <c r="BC21" s="9">
        <v>2.49984E-13</v>
      </c>
      <c r="BD21" s="10">
        <v>79.069000000000003</v>
      </c>
      <c r="BE21" s="12"/>
      <c r="BF21" s="10">
        <v>271631357.37424302</v>
      </c>
      <c r="BG21" s="10">
        <v>18</v>
      </c>
      <c r="BH21" s="9">
        <v>5.4850600000000001E-9</v>
      </c>
      <c r="BI21" s="10">
        <v>176.15600000000001</v>
      </c>
      <c r="BJ21" s="12"/>
    </row>
    <row r="22" spans="1:62">
      <c r="A22" s="12"/>
      <c r="B22" s="12"/>
      <c r="C22" s="12"/>
      <c r="J22" s="6"/>
      <c r="V22" s="5">
        <v>16748438.600010499</v>
      </c>
      <c r="W22" s="5">
        <v>18</v>
      </c>
      <c r="X22" s="1">
        <v>2.5884132240000002E-11</v>
      </c>
      <c r="Y22" s="5">
        <v>1.605000019</v>
      </c>
      <c r="Z22" s="12"/>
      <c r="AA22" s="5">
        <v>16748438.600013699</v>
      </c>
      <c r="AB22" s="5">
        <v>18</v>
      </c>
      <c r="AC22" s="1">
        <v>2.5611179750000001E-9</v>
      </c>
      <c r="AD22" s="5">
        <v>1.155999899</v>
      </c>
      <c r="AE22" s="12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U22" s="3"/>
      <c r="AV22" s="5"/>
      <c r="AW22" s="5"/>
      <c r="AX22" s="5"/>
      <c r="AY22" s="5"/>
      <c r="AZ22" s="12"/>
      <c r="BC22" s="10"/>
      <c r="BD22" s="10"/>
      <c r="BE22" s="10" t="s">
        <v>2</v>
      </c>
      <c r="BF22" s="10">
        <v>271631357.37424302</v>
      </c>
      <c r="BG22" s="10">
        <v>19</v>
      </c>
      <c r="BH22" s="9">
        <v>1.9796499999999999E-9</v>
      </c>
      <c r="BI22" s="10">
        <v>203.471</v>
      </c>
      <c r="BJ22" s="12"/>
    </row>
    <row r="23" spans="1:62">
      <c r="A23" s="12"/>
      <c r="B23" s="12"/>
      <c r="C23" s="12"/>
      <c r="J23" s="6"/>
      <c r="K23" s="12"/>
      <c r="L23" s="12"/>
      <c r="M23" s="12"/>
      <c r="N23" s="12"/>
      <c r="V23" s="5">
        <v>16748438.600010499</v>
      </c>
      <c r="W23" s="5">
        <v>19</v>
      </c>
      <c r="X23" s="1">
        <v>3.1190265759999999E-12</v>
      </c>
      <c r="Y23" s="5">
        <v>1.6480000020000001</v>
      </c>
      <c r="Z23" s="12"/>
      <c r="AA23" s="5">
        <v>16748438.600013699</v>
      </c>
      <c r="AB23" s="5">
        <v>19</v>
      </c>
      <c r="AC23" s="1">
        <v>2.5611179750000001E-9</v>
      </c>
      <c r="AD23" s="5">
        <v>1.3069999219999999</v>
      </c>
      <c r="AE23" s="12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U23" s="3"/>
      <c r="AV23" s="5"/>
      <c r="AW23" s="5"/>
      <c r="AX23" s="5"/>
      <c r="AY23" s="5"/>
      <c r="AZ23" s="5"/>
      <c r="BC23" s="10"/>
      <c r="BD23" s="10"/>
      <c r="BE23" s="10"/>
      <c r="BF23" s="10"/>
      <c r="BG23" s="10"/>
      <c r="BH23" s="10"/>
      <c r="BI23" s="10"/>
      <c r="BJ23" s="12"/>
    </row>
    <row r="24" spans="1:62">
      <c r="A24" s="12"/>
      <c r="B24" s="12"/>
      <c r="C24" s="12"/>
      <c r="F24" s="12"/>
      <c r="G24" s="12"/>
      <c r="H24" s="12"/>
      <c r="I24" s="12"/>
      <c r="J24" s="6"/>
      <c r="K24" s="12"/>
      <c r="L24" s="12"/>
      <c r="M24" s="1"/>
      <c r="N24" s="12"/>
      <c r="V24" s="5">
        <v>16748438.600010499</v>
      </c>
      <c r="W24" s="5">
        <v>20</v>
      </c>
      <c r="X24" s="1">
        <v>5.1127738110000003E-13</v>
      </c>
      <c r="Y24" s="5">
        <v>1.694000006</v>
      </c>
      <c r="Z24" s="12"/>
      <c r="AA24" s="5">
        <v>16748438.600013699</v>
      </c>
      <c r="AB24" s="5">
        <v>20</v>
      </c>
      <c r="AC24" s="1">
        <v>2.5611179750000001E-9</v>
      </c>
      <c r="AD24" s="5">
        <v>1.3269999029999999</v>
      </c>
      <c r="AE24" s="12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U24" s="3"/>
      <c r="AV24" s="5"/>
      <c r="AW24" s="5"/>
      <c r="AX24" s="5"/>
      <c r="AY24" s="5"/>
      <c r="AZ24" s="5"/>
      <c r="BA24" s="5"/>
      <c r="BB24" s="5"/>
      <c r="BC24" s="10"/>
      <c r="BD24" s="10"/>
      <c r="BE24" s="5"/>
      <c r="BJ24" s="12"/>
    </row>
    <row r="25" spans="1:62">
      <c r="A25" s="12"/>
      <c r="B25" s="12"/>
      <c r="C25" s="12"/>
      <c r="F25" s="12"/>
      <c r="G25" s="12"/>
      <c r="H25" s="1"/>
      <c r="I25" s="12"/>
      <c r="K25" s="12"/>
      <c r="L25" s="12"/>
      <c r="M25" s="1"/>
      <c r="N25" s="12"/>
      <c r="Z25" s="3"/>
      <c r="AA25" s="5">
        <v>16748438.600013699</v>
      </c>
      <c r="AB25" s="5">
        <v>21</v>
      </c>
      <c r="AC25" s="1">
        <v>2.5611179750000001E-9</v>
      </c>
      <c r="AD25" s="5">
        <v>1.4539999960000001</v>
      </c>
      <c r="AE25" s="12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U25" s="3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62">
      <c r="A26" s="12"/>
      <c r="B26" s="12"/>
      <c r="C26" s="12"/>
      <c r="F26" s="12"/>
      <c r="G26" s="12"/>
      <c r="H26" s="1"/>
      <c r="I26" s="12"/>
      <c r="K26" s="12"/>
      <c r="L26" s="12"/>
      <c r="M26" s="1"/>
      <c r="N26" s="12"/>
      <c r="Z26" s="3"/>
      <c r="AA26" s="5">
        <v>16748438.605146199</v>
      </c>
      <c r="AB26" s="5">
        <v>22</v>
      </c>
      <c r="AC26" s="1">
        <v>2.5611179750000001E-9</v>
      </c>
      <c r="AD26" s="5">
        <v>1.4759998320000001</v>
      </c>
      <c r="AE26" s="12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62">
      <c r="A27" s="12"/>
      <c r="B27" s="12"/>
      <c r="C27" s="12"/>
      <c r="F27" s="12"/>
      <c r="G27" s="12"/>
      <c r="H27" s="1"/>
      <c r="I27" s="12"/>
      <c r="K27" s="12"/>
      <c r="L27" s="12"/>
      <c r="M27" s="1"/>
      <c r="N27" s="12"/>
      <c r="Z27" s="3"/>
      <c r="AA27" s="5">
        <v>16748438.6003592</v>
      </c>
      <c r="AB27" s="5">
        <v>23</v>
      </c>
      <c r="AC27" s="1">
        <v>2.5611179750000001E-9</v>
      </c>
      <c r="AD27" s="5">
        <v>1.506999969</v>
      </c>
      <c r="AE27" s="12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62">
      <c r="A28" s="12"/>
      <c r="B28" s="12"/>
      <c r="C28" s="12"/>
      <c r="F28" s="12"/>
      <c r="G28" s="12"/>
      <c r="H28" s="1"/>
      <c r="I28" s="12"/>
      <c r="K28" s="12"/>
      <c r="L28" s="12"/>
      <c r="M28" s="1"/>
      <c r="N28" s="12"/>
      <c r="Z28" s="3"/>
      <c r="AA28" s="5">
        <v>16748438.600019099</v>
      </c>
      <c r="AB28" s="5">
        <v>24</v>
      </c>
      <c r="AC28" s="1">
        <v>2.5611179750000001E-9</v>
      </c>
      <c r="AD28" s="5">
        <v>1.569000006</v>
      </c>
      <c r="AE28" s="12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12"/>
      <c r="AW28" s="12"/>
      <c r="AX28" s="12"/>
      <c r="AY28" s="5"/>
      <c r="AZ28" s="5"/>
      <c r="BA28" s="5"/>
      <c r="BB28" s="5"/>
      <c r="BC28" s="5"/>
      <c r="BD28" s="5"/>
      <c r="BE28" s="5"/>
    </row>
    <row r="29" spans="1:62">
      <c r="A29" s="12"/>
      <c r="B29" s="12"/>
      <c r="C29" s="12"/>
      <c r="F29" s="12"/>
      <c r="G29" s="12"/>
      <c r="H29" s="1"/>
      <c r="I29" s="6"/>
      <c r="K29" s="12"/>
      <c r="L29" s="12"/>
      <c r="M29" s="1"/>
      <c r="N29" s="12"/>
      <c r="Z29" s="3"/>
      <c r="AA29" s="5">
        <v>16748438.600019099</v>
      </c>
      <c r="AB29" s="5">
        <v>25</v>
      </c>
      <c r="AC29" s="1">
        <v>2.5611179750000001E-9</v>
      </c>
      <c r="AD29" s="5">
        <v>1.7200000289999999</v>
      </c>
      <c r="AE29" s="12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12"/>
      <c r="AW29" s="12"/>
      <c r="AX29" s="12"/>
      <c r="AY29" s="5"/>
      <c r="AZ29" s="5"/>
      <c r="BA29" s="5"/>
      <c r="BB29" s="5"/>
      <c r="BC29" s="5"/>
      <c r="BD29" s="5"/>
    </row>
    <row r="30" spans="1:62">
      <c r="A30" s="12"/>
      <c r="B30" s="12"/>
      <c r="C30" s="12"/>
      <c r="F30" s="12"/>
      <c r="G30" s="12"/>
      <c r="H30" s="1"/>
      <c r="I30" s="6"/>
      <c r="K30" s="12"/>
      <c r="L30" s="12"/>
      <c r="M30" s="1"/>
      <c r="N30" s="12"/>
      <c r="Z30" s="3"/>
      <c r="AA30" s="5">
        <v>16748438.6000106</v>
      </c>
      <c r="AB30" s="5">
        <v>26</v>
      </c>
      <c r="AC30" s="1">
        <v>5.5782712329999995E-10</v>
      </c>
      <c r="AD30" s="5">
        <v>1.9049999710000001</v>
      </c>
      <c r="AE30" s="12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12"/>
      <c r="AW30" s="12"/>
      <c r="AX30" s="12"/>
      <c r="AY30" s="3"/>
      <c r="AZ30" s="3"/>
      <c r="BA30" s="3"/>
      <c r="BB30" s="3"/>
      <c r="BC30" s="3"/>
      <c r="BD30" s="3"/>
    </row>
    <row r="31" spans="1:62">
      <c r="A31" s="12"/>
      <c r="B31" s="12"/>
      <c r="C31" s="12"/>
      <c r="F31" s="12"/>
      <c r="G31" s="12"/>
      <c r="H31" s="1"/>
      <c r="I31" s="6"/>
      <c r="K31" s="12"/>
      <c r="L31" s="12"/>
      <c r="M31" s="1"/>
      <c r="N31" s="12"/>
      <c r="Z31" s="3"/>
      <c r="AA31" s="5">
        <v>16748438.600010499</v>
      </c>
      <c r="AB31" s="5">
        <v>27</v>
      </c>
      <c r="AC31" s="1">
        <v>1.105701458E-10</v>
      </c>
      <c r="AD31" s="5">
        <v>2.4409999849999999</v>
      </c>
      <c r="AE31" s="12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12"/>
      <c r="AW31" s="12"/>
      <c r="AX31" s="12"/>
      <c r="AY31" s="3"/>
      <c r="AZ31" s="3"/>
      <c r="BA31" s="3"/>
      <c r="BB31" s="3"/>
      <c r="BC31" s="3"/>
      <c r="BD31" s="3"/>
    </row>
    <row r="32" spans="1:62">
      <c r="A32" s="12"/>
      <c r="B32" s="12"/>
      <c r="C32" s="12"/>
      <c r="F32" s="12"/>
      <c r="G32" s="12"/>
      <c r="H32" s="1"/>
      <c r="I32" s="6"/>
      <c r="K32" s="12"/>
      <c r="L32" s="12"/>
      <c r="M32" s="1"/>
      <c r="N32" s="12"/>
      <c r="Z32" s="3"/>
      <c r="AA32" s="5">
        <v>16748438.600010499</v>
      </c>
      <c r="AB32" s="5">
        <v>28</v>
      </c>
      <c r="AC32" s="1">
        <v>1.4482085830000001E-11</v>
      </c>
      <c r="AD32" s="5">
        <v>3.2359998230000002</v>
      </c>
      <c r="AE32" s="12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12"/>
      <c r="AW32" s="12"/>
      <c r="AX32" s="12"/>
      <c r="AY32" s="3"/>
      <c r="AZ32" s="3"/>
      <c r="BA32" s="3"/>
      <c r="BB32" s="3"/>
      <c r="BC32" s="3"/>
      <c r="BD32" s="3"/>
    </row>
    <row r="33" spans="1:56">
      <c r="A33" s="12"/>
      <c r="B33" s="12"/>
      <c r="C33" s="12"/>
      <c r="F33" s="12"/>
      <c r="G33" s="12"/>
      <c r="H33" s="1"/>
      <c r="I33" s="6"/>
      <c r="K33" s="12"/>
      <c r="L33" s="12"/>
      <c r="M33" s="1"/>
      <c r="N33" s="12"/>
      <c r="Z33" s="3"/>
      <c r="AA33" s="5">
        <v>16748438.600010499</v>
      </c>
      <c r="AB33" s="5">
        <v>29</v>
      </c>
      <c r="AC33" s="1">
        <v>1.4482085830000001E-11</v>
      </c>
      <c r="AD33" s="5">
        <v>4.1269998550000002</v>
      </c>
      <c r="AE33" s="12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12"/>
      <c r="AW33" s="12"/>
      <c r="AX33" s="12"/>
      <c r="AY33" s="3"/>
      <c r="AZ33" s="3"/>
      <c r="BA33" s="3"/>
      <c r="BB33" s="3"/>
      <c r="BC33" s="3"/>
      <c r="BD33" s="3"/>
    </row>
    <row r="34" spans="1:56">
      <c r="A34" s="12"/>
      <c r="B34" s="12"/>
      <c r="C34" s="12"/>
      <c r="F34" s="12"/>
      <c r="G34" s="12"/>
      <c r="H34" s="1"/>
      <c r="I34" s="6"/>
      <c r="K34" s="12"/>
      <c r="L34" s="12"/>
      <c r="M34" s="1"/>
      <c r="N34" s="12"/>
      <c r="Z34" s="3"/>
      <c r="AA34" s="5">
        <v>16748438.600010499</v>
      </c>
      <c r="AB34" s="5">
        <v>30</v>
      </c>
      <c r="AC34" s="1">
        <v>2.512083423E-12</v>
      </c>
      <c r="AD34" s="5">
        <v>4.7359998230000002</v>
      </c>
      <c r="AE34" s="12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12"/>
      <c r="AW34" s="12"/>
      <c r="AX34" s="12"/>
      <c r="AY34" s="3"/>
      <c r="AZ34" s="3"/>
      <c r="BA34" s="3"/>
      <c r="BB34" s="3"/>
      <c r="BC34" s="3"/>
      <c r="BD34" s="3"/>
    </row>
    <row r="35" spans="1:56">
      <c r="A35" s="12"/>
      <c r="B35" s="12"/>
      <c r="C35" s="12"/>
      <c r="F35" s="12"/>
      <c r="G35" s="12"/>
      <c r="H35" s="1"/>
      <c r="I35" s="6"/>
      <c r="K35" s="12"/>
      <c r="L35" s="12"/>
      <c r="M35" s="1"/>
      <c r="N35" s="12"/>
      <c r="Z35" s="3"/>
      <c r="AA35" s="5">
        <v>16748438.600010499</v>
      </c>
      <c r="AB35" s="5">
        <v>31</v>
      </c>
      <c r="AC35" s="1">
        <v>5.7160802780000001E-13</v>
      </c>
      <c r="AD35" s="5">
        <v>4.9659998420000004</v>
      </c>
      <c r="AE35" s="12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12"/>
      <c r="AW35" s="12"/>
      <c r="AX35" s="12"/>
      <c r="AY35" s="3"/>
      <c r="AZ35" s="3"/>
      <c r="BA35" s="3"/>
      <c r="BB35" s="3"/>
      <c r="BC35" s="3"/>
      <c r="BD35" s="3"/>
    </row>
    <row r="36" spans="1:56">
      <c r="A36" s="12"/>
      <c r="B36" s="12"/>
      <c r="C36" s="12"/>
      <c r="F36" s="12"/>
      <c r="G36" s="12"/>
      <c r="H36" s="1"/>
      <c r="I36" s="6"/>
      <c r="K36" s="12"/>
      <c r="L36" s="12"/>
      <c r="M36" s="1"/>
      <c r="N36" s="12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12"/>
      <c r="AW36" s="12"/>
      <c r="AX36" s="12"/>
      <c r="AY36" s="3"/>
      <c r="AZ36" s="3"/>
      <c r="BA36" s="3"/>
      <c r="BB36" s="3"/>
      <c r="BC36" s="3"/>
      <c r="BD36" s="3"/>
    </row>
    <row r="37" spans="1:56">
      <c r="A37" s="12"/>
      <c r="B37" s="12"/>
      <c r="C37" s="12"/>
      <c r="F37" s="12"/>
      <c r="G37" s="12"/>
      <c r="H37" s="1"/>
      <c r="I37" s="6"/>
      <c r="K37" s="12"/>
      <c r="L37" s="12"/>
      <c r="M37" s="1"/>
      <c r="N37" s="12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12"/>
      <c r="AW37" s="12"/>
      <c r="AX37" s="12"/>
      <c r="AY37" s="3"/>
      <c r="AZ37" s="3"/>
      <c r="BA37" s="3"/>
      <c r="BB37" s="3"/>
      <c r="BC37" s="3"/>
      <c r="BD37" s="3"/>
    </row>
    <row r="38" spans="1:56">
      <c r="A38" s="12"/>
      <c r="B38" s="12"/>
      <c r="C38" s="12"/>
      <c r="F38" s="12"/>
      <c r="G38" s="12"/>
      <c r="H38" s="1"/>
      <c r="I38" s="6"/>
      <c r="K38" s="12"/>
      <c r="L38" s="12"/>
      <c r="M38" s="1"/>
      <c r="N38" s="12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12"/>
      <c r="AW38" s="12"/>
      <c r="AX38" s="12"/>
      <c r="AY38" s="3"/>
      <c r="AZ38" s="3"/>
      <c r="BA38" s="3"/>
      <c r="BB38" s="3"/>
      <c r="BC38" s="3"/>
      <c r="BD38" s="3"/>
    </row>
    <row r="39" spans="1:56">
      <c r="A39" s="12"/>
      <c r="B39" s="12"/>
      <c r="C39" s="12"/>
      <c r="F39" s="12"/>
      <c r="G39" s="12"/>
      <c r="H39" s="1"/>
      <c r="I39" s="6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12"/>
      <c r="AW39" s="12"/>
      <c r="AX39" s="12"/>
      <c r="AY39" s="3"/>
      <c r="AZ39" s="3"/>
      <c r="BA39" s="3"/>
      <c r="BB39" s="3"/>
      <c r="BC39" s="3"/>
      <c r="BD39" s="3"/>
    </row>
    <row r="40" spans="1:56">
      <c r="A40" s="12"/>
      <c r="B40" s="12"/>
      <c r="C40" s="12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12"/>
      <c r="AW40" s="12"/>
      <c r="AX40" s="12"/>
      <c r="AY40" s="3"/>
      <c r="AZ40" s="3"/>
      <c r="BA40" s="3"/>
      <c r="BB40" s="3"/>
      <c r="BC40" s="3"/>
      <c r="BD40" s="3"/>
    </row>
    <row r="41" spans="1:56">
      <c r="A41" s="12"/>
      <c r="B41" s="12"/>
      <c r="C41" s="12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12"/>
      <c r="AW41" s="12"/>
      <c r="AX41" s="12"/>
      <c r="AY41" s="3"/>
      <c r="AZ41" s="3"/>
      <c r="BA41" s="3"/>
      <c r="BB41" s="3"/>
      <c r="BC41" s="3"/>
      <c r="BD41" s="3"/>
    </row>
    <row r="42" spans="1:56">
      <c r="A42" s="12"/>
      <c r="B42" s="12"/>
      <c r="C42" s="12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12"/>
      <c r="AW42" s="12"/>
      <c r="AX42" s="12"/>
      <c r="AY42" s="3"/>
      <c r="AZ42" s="3"/>
      <c r="BA42" s="3"/>
      <c r="BB42" s="3"/>
      <c r="BC42" s="3"/>
      <c r="BD42" s="3"/>
    </row>
    <row r="43" spans="1:56">
      <c r="A43" s="12"/>
      <c r="B43" s="12"/>
      <c r="C43" s="12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12"/>
      <c r="AW43" s="12"/>
      <c r="AX43" s="12"/>
      <c r="AY43" s="3"/>
      <c r="AZ43" s="3"/>
      <c r="BA43" s="3"/>
      <c r="BB43" s="3"/>
      <c r="BC43" s="3"/>
      <c r="BD43" s="3"/>
    </row>
    <row r="44" spans="1:56">
      <c r="A44" s="12"/>
      <c r="B44" s="12"/>
      <c r="C44" s="12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12"/>
      <c r="AW44" s="12"/>
      <c r="AX44" s="12"/>
      <c r="AY44" s="3"/>
      <c r="AZ44" s="3"/>
      <c r="BA44" s="3"/>
      <c r="BB44" s="3"/>
      <c r="BC44" s="3"/>
      <c r="BD44" s="3"/>
    </row>
    <row r="45" spans="1:56">
      <c r="A45" s="12"/>
      <c r="B45" s="12"/>
      <c r="C45" s="12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12"/>
      <c r="AW45" s="12"/>
      <c r="AX45" s="12"/>
      <c r="AY45" s="3"/>
      <c r="AZ45" s="3"/>
      <c r="BA45" s="3"/>
      <c r="BB45" s="3"/>
      <c r="BC45" s="3"/>
      <c r="BD45" s="3"/>
    </row>
    <row r="46" spans="1:56">
      <c r="A46" s="12"/>
      <c r="B46" s="12"/>
      <c r="C46" s="12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12"/>
      <c r="AW46" s="12"/>
      <c r="AX46" s="12"/>
      <c r="AY46" s="3"/>
      <c r="AZ46" s="3"/>
      <c r="BA46" s="3"/>
      <c r="BB46" s="3"/>
      <c r="BC46" s="3"/>
      <c r="BD46" s="3"/>
    </row>
    <row r="47" spans="1:56">
      <c r="A47" s="12"/>
      <c r="B47" s="12"/>
      <c r="C47" s="12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12"/>
      <c r="AW47" s="12"/>
      <c r="AX47" s="12"/>
      <c r="AY47" s="3"/>
      <c r="AZ47" s="3"/>
      <c r="BA47" s="3"/>
      <c r="BB47" s="3"/>
      <c r="BC47" s="3"/>
      <c r="BD47" s="3"/>
    </row>
    <row r="48" spans="1:56">
      <c r="A48" s="12"/>
      <c r="B48" s="12"/>
      <c r="C48" s="12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12"/>
      <c r="AW48" s="12"/>
      <c r="AX48" s="12"/>
      <c r="AY48" s="3"/>
      <c r="AZ48" s="3"/>
      <c r="BA48" s="3"/>
      <c r="BB48" s="3"/>
      <c r="BC48" s="3"/>
      <c r="BD48" s="3"/>
    </row>
    <row r="49" spans="1:56">
      <c r="A49" s="12"/>
      <c r="B49" s="12"/>
      <c r="C49" s="12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12"/>
      <c r="AW49" s="12"/>
      <c r="AX49" s="12"/>
      <c r="AY49" s="3"/>
      <c r="AZ49" s="3"/>
      <c r="BA49" s="3"/>
      <c r="BB49" s="3"/>
      <c r="BC49" s="3"/>
      <c r="BD49" s="3"/>
    </row>
    <row r="50" spans="1:56">
      <c r="A50" s="12"/>
      <c r="B50" s="12"/>
      <c r="C50" s="12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12"/>
      <c r="AW50" s="12"/>
      <c r="AX50" s="12"/>
      <c r="AY50" s="3"/>
      <c r="AZ50" s="3"/>
      <c r="BA50" s="3"/>
      <c r="BB50" s="3"/>
      <c r="BC50" s="3"/>
      <c r="BD50" s="3"/>
    </row>
    <row r="51" spans="1:56">
      <c r="A51" s="12"/>
      <c r="B51" s="12"/>
      <c r="C51" s="12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12"/>
      <c r="AW51" s="12"/>
      <c r="AX51" s="12"/>
      <c r="AY51" s="3"/>
      <c r="AZ51" s="3"/>
      <c r="BA51" s="3"/>
      <c r="BB51" s="3"/>
      <c r="BC51" s="3"/>
      <c r="BD51" s="3"/>
    </row>
    <row r="52" spans="1:56">
      <c r="A52" s="12"/>
      <c r="B52" s="12"/>
      <c r="C52" s="12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12"/>
      <c r="AW52" s="12"/>
      <c r="AX52" s="12"/>
      <c r="AY52" s="3"/>
      <c r="AZ52" s="3"/>
      <c r="BA52" s="3"/>
      <c r="BB52" s="3"/>
      <c r="BC52" s="3"/>
      <c r="BD52" s="3"/>
    </row>
    <row r="53" spans="1:56"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12"/>
      <c r="AW53" s="12"/>
      <c r="AX53" s="12"/>
      <c r="AY53" s="3"/>
      <c r="AZ53" s="3"/>
      <c r="BA53" s="3"/>
      <c r="BB53" s="3"/>
      <c r="BC53" s="3"/>
      <c r="BD53" s="3"/>
    </row>
    <row r="54" spans="1:56"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 spans="1:56"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 spans="1:56"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1:56">
      <c r="W57" s="5"/>
      <c r="X57" s="5"/>
      <c r="Y57" s="5"/>
      <c r="Z57" s="5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56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W58" s="5"/>
      <c r="X58" s="5"/>
      <c r="Y58" s="5"/>
      <c r="Z58" s="5"/>
      <c r="AA58" s="3"/>
      <c r="AB58" s="3"/>
      <c r="AC58" s="3"/>
      <c r="AD58" s="3"/>
      <c r="AE58" s="3"/>
      <c r="AF58" s="3"/>
      <c r="AG58" s="3"/>
      <c r="AH58" s="3"/>
      <c r="AI58" s="3"/>
      <c r="AJ58" s="5"/>
      <c r="AK58" s="5"/>
      <c r="AL58" s="5"/>
      <c r="AM58" s="5"/>
      <c r="AN58" s="5"/>
      <c r="AO58" s="5"/>
      <c r="AP58" s="5"/>
      <c r="AQ58" s="5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 spans="1:56">
      <c r="C59" s="5"/>
      <c r="D59" s="5"/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W59" s="5"/>
      <c r="X59" s="5"/>
      <c r="Y59" s="5"/>
      <c r="Z59" s="5"/>
      <c r="AA59" s="3"/>
      <c r="AB59" s="3"/>
      <c r="AC59" s="3"/>
      <c r="AD59" s="3"/>
      <c r="AE59" s="3"/>
      <c r="AF59" s="3"/>
      <c r="AG59" s="3"/>
      <c r="AH59" s="3"/>
      <c r="AI59" s="3"/>
      <c r="AJ59" s="5"/>
      <c r="AK59" s="5"/>
      <c r="AL59" s="5"/>
      <c r="AM59" s="5"/>
      <c r="AN59" s="5"/>
      <c r="AO59" s="5"/>
      <c r="AP59" s="5"/>
      <c r="AQ59" s="5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 spans="1:56">
      <c r="C60" s="5"/>
      <c r="D60" s="5"/>
      <c r="E60" s="1"/>
      <c r="F60" s="5"/>
      <c r="G60" s="5"/>
      <c r="H60" s="5"/>
      <c r="I60" s="5"/>
      <c r="J60" s="5"/>
      <c r="K60" s="5"/>
      <c r="L60" s="5"/>
      <c r="M60" s="1"/>
      <c r="N60" s="5"/>
      <c r="O60" s="5"/>
      <c r="P60" s="5"/>
      <c r="Q60" s="12"/>
      <c r="W60" s="5"/>
      <c r="X60" s="5"/>
      <c r="Y60" s="5"/>
      <c r="Z60" s="5"/>
      <c r="AA60" s="3"/>
      <c r="AB60" s="3"/>
      <c r="AC60" s="3"/>
      <c r="AD60" s="3"/>
      <c r="AE60" s="3"/>
      <c r="AF60" s="3"/>
      <c r="AG60" s="3"/>
      <c r="AH60" s="3"/>
      <c r="AI60" s="3"/>
      <c r="AJ60" s="5"/>
      <c r="AK60" s="5"/>
      <c r="AL60" s="5"/>
      <c r="AM60" s="5"/>
      <c r="AN60" s="5"/>
      <c r="AO60" s="5"/>
      <c r="AP60" s="5"/>
      <c r="AQ60" s="5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1:56">
      <c r="C61" s="5"/>
      <c r="D61" s="5"/>
      <c r="E61" s="1"/>
      <c r="F61" s="5"/>
      <c r="G61" s="5"/>
      <c r="H61" s="5"/>
      <c r="I61" s="5"/>
      <c r="J61" s="5"/>
      <c r="K61" s="5"/>
      <c r="L61" s="5"/>
      <c r="M61" s="1"/>
      <c r="N61" s="5"/>
      <c r="O61" s="5"/>
      <c r="P61" s="5"/>
      <c r="Q61" s="12"/>
      <c r="W61" s="5"/>
      <c r="X61" s="5"/>
      <c r="Y61" s="5"/>
      <c r="Z61" s="5"/>
      <c r="AA61" s="3"/>
      <c r="AB61" s="3"/>
      <c r="AC61" s="3"/>
      <c r="AD61" s="3"/>
      <c r="AE61" s="3"/>
      <c r="AF61" s="3"/>
      <c r="AG61" s="3"/>
      <c r="AH61" s="3"/>
      <c r="AI61" s="3"/>
      <c r="AJ61" s="5"/>
      <c r="AK61" s="5"/>
      <c r="AL61" s="5"/>
      <c r="AM61" s="5"/>
      <c r="AN61" s="5"/>
      <c r="AO61" s="5"/>
      <c r="AP61" s="5"/>
      <c r="AQ61" s="5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 spans="1:56">
      <c r="C62" s="5"/>
      <c r="D62" s="5"/>
      <c r="E62" s="1"/>
      <c r="F62" s="5"/>
      <c r="G62" s="5"/>
      <c r="H62" s="5"/>
      <c r="I62" s="5"/>
      <c r="J62" s="5"/>
      <c r="K62" s="5"/>
      <c r="L62" s="5"/>
      <c r="M62" s="1"/>
      <c r="N62" s="5"/>
      <c r="O62" s="5"/>
      <c r="P62" s="5"/>
      <c r="Q62" s="12"/>
      <c r="W62" s="5"/>
      <c r="X62" s="5"/>
      <c r="Y62" s="5"/>
      <c r="Z62" s="5"/>
      <c r="AA62" s="3"/>
      <c r="AB62" s="3"/>
      <c r="AC62" s="3"/>
      <c r="AD62" s="3"/>
      <c r="AE62" s="3"/>
      <c r="AF62" s="3"/>
      <c r="AG62" s="3"/>
      <c r="AH62" s="3"/>
      <c r="AI62" s="3"/>
      <c r="AJ62" s="5"/>
      <c r="AK62" s="5"/>
      <c r="AL62" s="5"/>
      <c r="AM62" s="5"/>
      <c r="AN62" s="5"/>
      <c r="AO62" s="5"/>
      <c r="AP62" s="5"/>
      <c r="AQ62" s="5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1:56">
      <c r="C63" s="5"/>
      <c r="D63" s="5"/>
      <c r="E63" s="1"/>
      <c r="F63" s="5"/>
      <c r="G63" s="5"/>
      <c r="H63" s="5"/>
      <c r="I63" s="5"/>
      <c r="J63" s="5"/>
      <c r="K63" s="5"/>
      <c r="L63" s="5"/>
      <c r="M63" s="1"/>
      <c r="N63" s="5"/>
      <c r="O63" s="5"/>
      <c r="P63" s="5"/>
      <c r="Q63" s="12"/>
      <c r="W63" s="5"/>
      <c r="X63" s="5"/>
      <c r="Y63" s="5"/>
      <c r="Z63" s="1"/>
      <c r="AA63" s="3"/>
      <c r="AB63" s="3"/>
      <c r="AC63" s="3"/>
      <c r="AD63" s="3"/>
      <c r="AE63" s="3"/>
      <c r="AF63" s="3"/>
      <c r="AG63" s="3"/>
      <c r="AH63" s="3"/>
      <c r="AI63" s="3"/>
      <c r="AJ63" s="5"/>
      <c r="AK63" s="5"/>
      <c r="AL63" s="5"/>
      <c r="AM63" s="5"/>
      <c r="AN63" s="5"/>
      <c r="AO63" s="5"/>
      <c r="AP63" s="5"/>
      <c r="AQ63" s="5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 spans="1:56">
      <c r="C64" s="5"/>
      <c r="D64" s="5"/>
      <c r="E64" s="1"/>
      <c r="F64" s="5"/>
      <c r="G64" s="5"/>
      <c r="H64" s="5"/>
      <c r="I64" s="5"/>
      <c r="J64" s="5"/>
      <c r="K64" s="5"/>
      <c r="L64" s="5"/>
      <c r="M64" s="1"/>
      <c r="N64" s="5"/>
      <c r="O64" s="5"/>
      <c r="P64" s="5"/>
      <c r="Q64" s="12"/>
      <c r="W64" s="5"/>
      <c r="X64" s="5"/>
      <c r="Y64" s="5"/>
      <c r="Z64" s="1"/>
      <c r="AA64" s="3"/>
      <c r="AB64" s="3"/>
      <c r="AC64" s="3"/>
      <c r="AD64" s="3"/>
      <c r="AE64" s="3"/>
      <c r="AF64" s="3"/>
      <c r="AG64" s="3"/>
      <c r="AH64" s="3"/>
      <c r="AI64" s="3"/>
      <c r="AJ64" s="5"/>
      <c r="AK64" s="5"/>
      <c r="AL64" s="1"/>
      <c r="AM64" s="5"/>
      <c r="AN64" s="5"/>
      <c r="AO64" s="5"/>
      <c r="AP64" s="5"/>
      <c r="AQ64" s="1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 spans="1:56">
      <c r="C65" s="5"/>
      <c r="D65" s="5"/>
      <c r="E65" s="1"/>
      <c r="F65" s="5"/>
      <c r="G65" s="5"/>
      <c r="H65" s="5"/>
      <c r="I65" s="5"/>
      <c r="J65" s="5"/>
      <c r="K65" s="5"/>
      <c r="L65" s="5"/>
      <c r="M65" s="1"/>
      <c r="N65" s="5"/>
      <c r="O65" s="5"/>
      <c r="P65" s="5"/>
      <c r="Q65" s="12"/>
      <c r="W65" s="5"/>
      <c r="X65" s="5"/>
      <c r="Y65" s="5"/>
      <c r="Z65" s="1"/>
      <c r="AA65" s="3"/>
      <c r="AB65" s="3"/>
      <c r="AC65" s="3"/>
      <c r="AD65" s="3"/>
      <c r="AE65" s="3"/>
      <c r="AF65" s="3"/>
      <c r="AG65" s="3"/>
      <c r="AH65" s="3"/>
      <c r="AI65" s="3"/>
      <c r="AJ65" s="5"/>
      <c r="AK65" s="5"/>
      <c r="AL65" s="1"/>
      <c r="AM65" s="5"/>
      <c r="AN65" s="5"/>
      <c r="AO65" s="5"/>
      <c r="AP65" s="5"/>
      <c r="AQ65" s="1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 spans="1:56">
      <c r="C66" s="5"/>
      <c r="D66" s="5"/>
      <c r="E66" s="1"/>
      <c r="F66" s="2"/>
      <c r="G66" s="5"/>
      <c r="H66" s="5"/>
      <c r="I66" s="5"/>
      <c r="J66" s="5"/>
      <c r="K66" s="5"/>
      <c r="L66" s="5"/>
      <c r="M66" s="1"/>
      <c r="N66" s="5"/>
      <c r="O66" s="5"/>
      <c r="P66" s="5"/>
      <c r="Q66" s="12"/>
      <c r="W66" s="5"/>
      <c r="X66" s="5"/>
      <c r="Y66" s="5"/>
      <c r="Z66" s="1"/>
      <c r="AA66" s="3"/>
      <c r="AB66" s="3"/>
      <c r="AC66" s="3"/>
      <c r="AD66" s="3"/>
      <c r="AE66" s="3"/>
      <c r="AF66" s="3"/>
      <c r="AG66" s="3"/>
      <c r="AH66" s="3"/>
      <c r="AI66" s="3"/>
      <c r="AJ66" s="5"/>
      <c r="AK66" s="5"/>
      <c r="AL66" s="1"/>
      <c r="AM66" s="5"/>
      <c r="AN66" s="5"/>
      <c r="AO66" s="5"/>
      <c r="AP66" s="5"/>
      <c r="AQ66" s="1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 spans="1:56">
      <c r="C67" s="5"/>
      <c r="D67" s="5"/>
      <c r="E67" s="5"/>
      <c r="F67" s="5"/>
      <c r="G67" s="5"/>
      <c r="H67" s="5"/>
      <c r="I67" s="5"/>
      <c r="J67" s="5"/>
      <c r="K67" s="5"/>
      <c r="L67" s="5"/>
      <c r="M67" s="1"/>
      <c r="N67" s="5"/>
      <c r="O67" s="5"/>
      <c r="P67" s="5"/>
      <c r="Q67" s="12"/>
      <c r="W67" s="5"/>
      <c r="X67" s="5"/>
      <c r="Y67" s="5"/>
      <c r="Z67" s="1"/>
      <c r="AA67" s="3"/>
      <c r="AB67" s="3"/>
      <c r="AC67" s="3"/>
      <c r="AD67" s="3"/>
      <c r="AE67" s="3"/>
      <c r="AF67" s="3"/>
      <c r="AG67" s="3"/>
      <c r="AH67" s="3"/>
      <c r="AI67" s="3"/>
      <c r="AJ67" s="5"/>
      <c r="AK67" s="5"/>
      <c r="AL67" s="1"/>
      <c r="AM67" s="5"/>
      <c r="AN67" s="5"/>
      <c r="AO67" s="5"/>
      <c r="AP67" s="5"/>
      <c r="AQ67" s="1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 spans="1:56">
      <c r="C68" s="5"/>
      <c r="D68" s="5"/>
      <c r="E68" s="5"/>
      <c r="F68" s="5"/>
      <c r="G68" s="5"/>
      <c r="H68" s="5"/>
      <c r="I68" s="5"/>
      <c r="J68" s="5"/>
      <c r="K68" s="5"/>
      <c r="L68" s="5"/>
      <c r="M68" s="1"/>
      <c r="N68" s="5"/>
      <c r="O68" s="5"/>
      <c r="P68" s="5"/>
      <c r="Q68" s="12"/>
      <c r="W68" s="5"/>
      <c r="X68" s="5"/>
      <c r="Y68" s="5"/>
      <c r="Z68" s="1"/>
      <c r="AA68" s="3"/>
      <c r="AB68" s="3"/>
      <c r="AC68" s="3"/>
      <c r="AD68" s="3"/>
      <c r="AE68" s="3"/>
      <c r="AF68" s="3"/>
      <c r="AG68" s="3"/>
      <c r="AH68" s="3"/>
      <c r="AI68" s="3"/>
      <c r="AJ68" s="5"/>
      <c r="AK68" s="5"/>
      <c r="AL68" s="1"/>
      <c r="AM68" s="5"/>
      <c r="AN68" s="5"/>
      <c r="AO68" s="5"/>
      <c r="AP68" s="5"/>
      <c r="AQ68" s="1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 spans="1:56">
      <c r="C69" s="5"/>
      <c r="D69" s="5"/>
      <c r="E69" s="5"/>
      <c r="F69" s="5"/>
      <c r="G69" s="5"/>
      <c r="H69" s="5"/>
      <c r="I69" s="5"/>
      <c r="J69" s="5"/>
      <c r="K69" s="5"/>
      <c r="L69" s="5"/>
      <c r="M69" s="1"/>
      <c r="N69" s="5"/>
      <c r="O69" s="5"/>
      <c r="P69" s="5"/>
      <c r="Q69" s="12"/>
      <c r="W69" s="5"/>
      <c r="X69" s="5"/>
      <c r="Y69" s="5"/>
      <c r="Z69" s="5"/>
      <c r="AA69" s="3"/>
      <c r="AB69" s="3"/>
      <c r="AC69" s="3"/>
      <c r="AD69" s="3"/>
      <c r="AE69" s="3"/>
      <c r="AF69" s="3"/>
      <c r="AG69" s="3"/>
      <c r="AH69" s="3"/>
      <c r="AI69" s="3"/>
      <c r="AJ69" s="5"/>
      <c r="AK69" s="5"/>
      <c r="AL69" s="1"/>
      <c r="AM69" s="5"/>
      <c r="AN69" s="5"/>
      <c r="AO69" s="5"/>
      <c r="AP69" s="5"/>
      <c r="AQ69" s="1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 spans="1:56">
      <c r="C70" s="5"/>
      <c r="D70" s="5"/>
      <c r="E70" s="5"/>
      <c r="F70" s="5"/>
      <c r="G70" s="5"/>
      <c r="H70" s="5"/>
      <c r="I70" s="5"/>
      <c r="J70" s="5"/>
      <c r="K70" s="5"/>
      <c r="L70" s="5"/>
      <c r="M70" s="1"/>
      <c r="N70" s="5"/>
      <c r="O70" s="5"/>
      <c r="P70" s="5"/>
      <c r="Q70" s="12"/>
      <c r="W70" s="5"/>
      <c r="X70" s="5"/>
      <c r="Y70" s="5"/>
      <c r="Z70" s="5"/>
      <c r="AA70" s="3"/>
      <c r="AB70" s="3"/>
      <c r="AC70" s="3"/>
      <c r="AD70" s="3"/>
      <c r="AE70" s="3"/>
      <c r="AF70" s="3"/>
      <c r="AG70" s="3"/>
      <c r="AH70" s="3"/>
      <c r="AI70" s="3"/>
      <c r="AJ70" s="5"/>
      <c r="AK70" s="5"/>
      <c r="AL70" s="1"/>
      <c r="AM70" s="5"/>
      <c r="AN70" s="5"/>
      <c r="AO70" s="5"/>
      <c r="AP70" s="5"/>
      <c r="AQ70" s="1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 spans="1:56">
      <c r="C71" s="5"/>
      <c r="D71" s="5"/>
      <c r="E71" s="5"/>
      <c r="F71" s="5"/>
      <c r="G71" s="5"/>
      <c r="H71" s="5"/>
      <c r="I71" s="5"/>
      <c r="J71" s="5"/>
      <c r="K71" s="5"/>
      <c r="L71" s="5"/>
      <c r="M71" s="1"/>
      <c r="N71" s="5"/>
      <c r="O71" s="5"/>
      <c r="P71" s="5"/>
      <c r="Q71" s="12"/>
      <c r="W71" s="5"/>
      <c r="X71" s="5"/>
      <c r="Y71" s="5"/>
      <c r="Z71" s="5"/>
      <c r="AA71" s="3"/>
      <c r="AB71" s="3"/>
      <c r="AC71" s="3"/>
      <c r="AD71" s="3"/>
      <c r="AE71" s="3"/>
      <c r="AF71" s="3"/>
      <c r="AG71" s="3"/>
      <c r="AH71" s="3"/>
      <c r="AI71" s="3"/>
      <c r="AJ71" s="5"/>
      <c r="AK71" s="5"/>
      <c r="AL71" s="1"/>
      <c r="AM71" s="5"/>
      <c r="AN71" s="5"/>
      <c r="AO71" s="5"/>
      <c r="AP71" s="5"/>
      <c r="AQ71" s="1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 spans="1:56">
      <c r="C72" s="5"/>
      <c r="D72" s="5"/>
      <c r="E72" s="5"/>
      <c r="F72" s="5"/>
      <c r="G72" s="5"/>
      <c r="H72" s="5"/>
      <c r="I72" s="5"/>
      <c r="J72" s="5"/>
      <c r="K72" s="5"/>
      <c r="L72" s="5"/>
      <c r="M72" s="1"/>
      <c r="N72" s="5"/>
      <c r="O72" s="5"/>
      <c r="P72" s="5"/>
      <c r="Q72" s="12"/>
      <c r="W72" s="5"/>
      <c r="X72" s="5"/>
      <c r="Y72" s="5"/>
      <c r="Z72" s="5"/>
      <c r="AA72" s="3"/>
      <c r="AB72" s="3"/>
      <c r="AC72" s="3"/>
      <c r="AD72" s="3"/>
      <c r="AE72" s="3"/>
      <c r="AF72" s="3"/>
      <c r="AG72" s="3"/>
      <c r="AH72" s="3"/>
      <c r="AI72" s="3"/>
      <c r="AJ72" s="5"/>
      <c r="AK72" s="5"/>
      <c r="AL72" s="1"/>
      <c r="AM72" s="5"/>
      <c r="AN72" s="5"/>
      <c r="AO72" s="5"/>
      <c r="AP72" s="5"/>
      <c r="AQ72" s="1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 spans="1:56">
      <c r="C73" s="5"/>
      <c r="D73" s="5"/>
      <c r="E73" s="5"/>
      <c r="F73" s="5"/>
      <c r="G73" s="5"/>
      <c r="H73" s="5"/>
      <c r="I73" s="5"/>
      <c r="J73" s="5"/>
      <c r="K73" s="5"/>
      <c r="L73" s="5"/>
      <c r="M73" s="1"/>
      <c r="N73" s="5"/>
      <c r="O73" s="5"/>
      <c r="P73" s="5"/>
      <c r="Q73" s="12"/>
      <c r="W73" s="5"/>
      <c r="X73" s="5"/>
      <c r="Y73" s="5"/>
      <c r="Z73" s="5"/>
      <c r="AA73" s="3"/>
      <c r="AB73" s="3"/>
      <c r="AC73" s="3"/>
      <c r="AD73" s="3"/>
      <c r="AE73" s="3"/>
      <c r="AF73" s="3"/>
      <c r="AG73" s="3"/>
      <c r="AH73" s="3"/>
      <c r="AI73" s="3"/>
      <c r="AJ73" s="5"/>
      <c r="AK73" s="5"/>
      <c r="AL73" s="1"/>
      <c r="AM73" s="5"/>
      <c r="AN73" s="5"/>
      <c r="AO73" s="5"/>
      <c r="AP73" s="5"/>
      <c r="AQ73" s="1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 spans="1:56" s="8" customFormat="1">
      <c r="A74"/>
      <c r="B74"/>
      <c r="C74" s="5"/>
      <c r="D74" s="5"/>
      <c r="E74" s="5"/>
      <c r="F74" s="5"/>
      <c r="G74" s="5"/>
      <c r="H74" s="5"/>
      <c r="I74" s="5"/>
      <c r="J74" s="5"/>
      <c r="K74" s="5"/>
      <c r="L74" s="5"/>
      <c r="M74" s="1"/>
      <c r="N74" s="5"/>
      <c r="O74" s="5"/>
      <c r="P74" s="5"/>
      <c r="Q74" s="13"/>
      <c r="AL74" s="7"/>
      <c r="AQ74" s="7"/>
    </row>
    <row r="75" spans="1:56">
      <c r="C75" s="5"/>
      <c r="D75" s="5"/>
      <c r="E75" s="5"/>
      <c r="F75" s="5"/>
      <c r="G75" s="5"/>
      <c r="H75" s="5"/>
      <c r="I75" s="5"/>
      <c r="J75" s="5"/>
      <c r="K75" s="5"/>
      <c r="L75" s="5"/>
      <c r="M75" s="1"/>
      <c r="N75" s="5"/>
      <c r="O75" s="5"/>
      <c r="Q75" s="12"/>
      <c r="R75" s="5"/>
      <c r="W75" s="5"/>
      <c r="X75" s="5"/>
      <c r="Y75" s="5"/>
      <c r="Z75" s="5"/>
      <c r="AA75" s="3"/>
      <c r="AB75" s="3"/>
      <c r="AC75" s="3"/>
      <c r="AD75" s="3"/>
      <c r="AE75" s="3"/>
      <c r="AF75" s="3"/>
      <c r="AG75" s="3"/>
      <c r="AH75" s="3"/>
      <c r="AI75" s="3"/>
      <c r="AJ75" s="5"/>
      <c r="AK75" s="5"/>
      <c r="AL75" s="1"/>
      <c r="AM75" s="5"/>
      <c r="AN75" s="5"/>
      <c r="AO75" s="5"/>
      <c r="AP75" s="5"/>
      <c r="AQ75" s="1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 spans="1:56">
      <c r="C76" s="5"/>
      <c r="D76" s="5"/>
      <c r="E76" s="5"/>
      <c r="F76" s="5"/>
      <c r="G76" s="5"/>
      <c r="H76" s="5"/>
      <c r="I76" s="5"/>
      <c r="J76" s="5"/>
      <c r="K76" s="5"/>
      <c r="L76" s="5"/>
      <c r="M76" s="1"/>
      <c r="N76" s="5"/>
      <c r="O76" s="5"/>
      <c r="Q76" s="12"/>
      <c r="R76" s="5"/>
      <c r="W76" s="5"/>
      <c r="X76" s="5"/>
      <c r="Y76" s="5"/>
      <c r="Z76" s="5"/>
      <c r="AA76" s="3"/>
      <c r="AB76" s="3"/>
      <c r="AC76" s="3"/>
      <c r="AD76" s="3"/>
      <c r="AE76" s="3"/>
      <c r="AF76" s="3"/>
      <c r="AG76" s="3"/>
      <c r="AH76" s="3"/>
      <c r="AI76" s="3"/>
      <c r="AJ76" s="5"/>
      <c r="AK76" s="5"/>
      <c r="AL76" s="1"/>
      <c r="AM76" s="5"/>
      <c r="AN76" s="5"/>
      <c r="AO76" s="5"/>
      <c r="AP76" s="5"/>
      <c r="AQ76" s="1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 spans="1:56">
      <c r="C77" s="5"/>
      <c r="D77" s="5"/>
      <c r="E77" s="5"/>
      <c r="F77" s="5"/>
      <c r="G77" s="5"/>
      <c r="H77" s="5"/>
      <c r="I77" s="5"/>
      <c r="J77" s="5"/>
      <c r="K77" s="5"/>
      <c r="L77" s="5"/>
      <c r="M77" s="1"/>
      <c r="N77" s="2"/>
      <c r="O77" s="5"/>
      <c r="Q77" s="12"/>
      <c r="R77" s="5"/>
      <c r="W77" s="5"/>
      <c r="X77" s="5"/>
      <c r="Y77" s="5"/>
      <c r="Z77" s="5"/>
      <c r="AA77" s="3"/>
      <c r="AB77" s="3"/>
      <c r="AC77" s="3"/>
      <c r="AD77" s="3"/>
      <c r="AE77" s="3"/>
      <c r="AF77" s="3"/>
      <c r="AG77" s="3"/>
      <c r="AH77" s="3"/>
      <c r="AI77" s="3"/>
      <c r="AJ77" s="5"/>
      <c r="AK77" s="5"/>
      <c r="AL77" s="1"/>
      <c r="AM77" s="5"/>
      <c r="AN77" s="5"/>
      <c r="AO77" s="5"/>
      <c r="AP77" s="5"/>
      <c r="AQ77" s="1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 spans="1:56">
      <c r="Q78" s="5"/>
      <c r="R78" s="5"/>
      <c r="W78" s="5"/>
      <c r="X78" s="5"/>
      <c r="Y78" s="5"/>
      <c r="Z78" s="5"/>
      <c r="AA78" s="3"/>
      <c r="AB78" s="3"/>
      <c r="AC78" s="3"/>
      <c r="AD78" s="3"/>
      <c r="AE78" s="3"/>
      <c r="AF78" s="3"/>
      <c r="AG78" s="3"/>
      <c r="AH78" s="3"/>
      <c r="AI78" s="3"/>
      <c r="AJ78" s="5"/>
      <c r="AK78" s="5"/>
      <c r="AL78" s="1"/>
      <c r="AM78" s="5"/>
      <c r="AN78" s="5"/>
      <c r="AO78" s="5"/>
      <c r="AP78" s="5"/>
      <c r="AQ78" s="1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 spans="1:56">
      <c r="Q79" s="5"/>
      <c r="R79" s="5"/>
      <c r="W79" s="5"/>
      <c r="X79" s="5"/>
      <c r="Y79" s="5"/>
      <c r="Z79" s="5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 spans="1:56">
      <c r="Q80" s="5"/>
      <c r="R80" s="5"/>
      <c r="W80" s="5"/>
      <c r="X80" s="5"/>
      <c r="Y80" s="5"/>
      <c r="Z80" s="5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 spans="17:56">
      <c r="Q81" s="5"/>
      <c r="R81" s="5"/>
      <c r="W81" s="5"/>
      <c r="X81" s="5"/>
      <c r="Y81" s="5"/>
      <c r="Z81" s="5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 spans="17:56">
      <c r="Q82" s="5"/>
      <c r="R82" s="5"/>
      <c r="W82" s="5"/>
      <c r="X82" s="5"/>
      <c r="Y82" s="5"/>
      <c r="Z82" s="5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 spans="17:56">
      <c r="Q83" s="5"/>
      <c r="R83" s="5"/>
      <c r="W83" s="5"/>
      <c r="X83" s="5"/>
      <c r="Y83" s="5"/>
      <c r="Z83" s="5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 spans="17:56">
      <c r="Q84" s="5"/>
      <c r="R84" s="5"/>
      <c r="W84" s="5"/>
      <c r="X84" s="5"/>
      <c r="Y84" s="5"/>
      <c r="Z84" s="5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 spans="17:56">
      <c r="Q85" s="5"/>
      <c r="R85" s="5"/>
      <c r="W85" s="5"/>
      <c r="X85" s="5"/>
      <c r="Y85" s="5"/>
      <c r="Z85" s="5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 spans="17:56">
      <c r="Q86" s="5"/>
      <c r="R86" s="5"/>
      <c r="W86" s="5"/>
      <c r="X86" s="5"/>
      <c r="Y86" s="5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 spans="17:56">
      <c r="Q87" s="5"/>
      <c r="R87" s="5"/>
      <c r="S87" s="5"/>
      <c r="T87" s="5"/>
      <c r="U87" s="1"/>
      <c r="V87" s="5"/>
      <c r="W87" s="5"/>
      <c r="X87" s="5"/>
      <c r="Y87" s="5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 spans="17:56">
      <c r="Q88" s="5"/>
      <c r="R88" s="5"/>
      <c r="S88" s="5"/>
      <c r="T88" s="5"/>
      <c r="U88" s="1"/>
      <c r="V88" s="5"/>
      <c r="W88" s="5"/>
      <c r="X88" s="5"/>
      <c r="Y88" s="5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 spans="17:56">
      <c r="Q89" s="5"/>
      <c r="R89" s="5"/>
      <c r="S89" s="5"/>
      <c r="T89" s="5"/>
      <c r="U89" s="1"/>
      <c r="V89" s="5"/>
      <c r="W89" s="5"/>
      <c r="X89" s="5"/>
      <c r="Y89" s="5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 spans="17:56">
      <c r="Q90" s="5"/>
      <c r="R90" s="5"/>
      <c r="S90" s="5"/>
      <c r="T90" s="5"/>
      <c r="U90" s="1"/>
      <c r="V90" s="5"/>
      <c r="W90" s="5"/>
      <c r="X90" s="5"/>
      <c r="Y90" s="5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 spans="17:56">
      <c r="Q91" s="5"/>
      <c r="R91" s="5"/>
      <c r="S91" s="5"/>
      <c r="T91" s="5"/>
      <c r="U91" s="1"/>
      <c r="V91" s="5"/>
      <c r="W91" s="5"/>
      <c r="X91" s="5"/>
      <c r="Y91" s="5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 spans="17:56">
      <c r="Q92" s="5"/>
      <c r="R92" s="5"/>
      <c r="S92" s="5"/>
      <c r="T92" s="5"/>
      <c r="U92" s="1"/>
      <c r="V92" s="5"/>
      <c r="W92" s="5"/>
      <c r="X92" s="5"/>
      <c r="Y92" s="5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17:56">
      <c r="Q93" s="5"/>
      <c r="R93" s="5"/>
      <c r="S93" s="5"/>
      <c r="T93" s="5"/>
      <c r="U93" s="1"/>
      <c r="V93" s="5"/>
      <c r="W93" s="5"/>
      <c r="X93" s="5"/>
      <c r="Y93" s="5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17:56">
      <c r="Q94" s="5"/>
      <c r="R94" s="5"/>
      <c r="S94" s="5"/>
      <c r="T94" s="5"/>
      <c r="U94" s="1"/>
      <c r="V94" s="5"/>
      <c r="W94" s="5"/>
      <c r="X94" s="5"/>
      <c r="Y94" s="5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17:56">
      <c r="Q95" s="5"/>
      <c r="R95" s="5"/>
      <c r="S95" s="5"/>
      <c r="T95" s="5"/>
      <c r="U95" s="1"/>
      <c r="V95" s="5"/>
      <c r="W95" s="5"/>
      <c r="X95" s="5"/>
      <c r="Y95" s="5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 spans="17:56">
      <c r="Q96" s="5"/>
      <c r="R96" s="5"/>
      <c r="S96" s="5"/>
      <c r="T96" s="5"/>
      <c r="U96" s="1"/>
      <c r="V96" s="2"/>
      <c r="W96" s="5"/>
      <c r="X96" s="5"/>
      <c r="Y96" s="5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 spans="20:56">
      <c r="T97" s="5"/>
      <c r="U97" s="5"/>
      <c r="V97" s="5"/>
      <c r="W97" s="5"/>
      <c r="X97" s="5"/>
      <c r="Y97" s="5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 spans="20:56">
      <c r="T98" s="5"/>
      <c r="U98" s="5"/>
      <c r="V98" s="5"/>
      <c r="W98" s="5"/>
      <c r="X98" s="5"/>
      <c r="Y98" s="5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 spans="20:56">
      <c r="T99" s="5"/>
      <c r="U99" s="5"/>
      <c r="V99" s="5"/>
      <c r="W99" s="5"/>
      <c r="X99" s="5"/>
      <c r="Y99" s="5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 spans="20:56">
      <c r="T100" s="5"/>
      <c r="U100" s="5"/>
      <c r="V100" s="5"/>
      <c r="W100" s="5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 spans="20:56">
      <c r="T101" s="5"/>
      <c r="U101" s="5"/>
      <c r="V101" s="5"/>
      <c r="W101" s="5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 spans="20:56">
      <c r="T102" s="5"/>
      <c r="U102" s="5"/>
      <c r="V102" s="5"/>
      <c r="W102" s="5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 spans="20:56">
      <c r="T103" s="5"/>
      <c r="U103" s="5"/>
      <c r="V103" s="5"/>
      <c r="W103" s="1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 spans="20:56">
      <c r="T104" s="5"/>
      <c r="U104" s="5"/>
      <c r="V104" s="5"/>
      <c r="W104" s="1"/>
      <c r="AV104" s="3"/>
      <c r="AW104" s="3"/>
      <c r="AX104" s="3"/>
      <c r="AY104" s="3"/>
      <c r="AZ104" s="3"/>
      <c r="BA104" s="3"/>
      <c r="BB104" s="3"/>
      <c r="BC104" s="3"/>
      <c r="BD104" s="3"/>
    </row>
    <row r="105" spans="20:56">
      <c r="T105" s="5"/>
      <c r="U105" s="5"/>
      <c r="V105" s="5"/>
      <c r="W105" s="1"/>
      <c r="AV105" s="3"/>
      <c r="AW105" s="3"/>
      <c r="AX105" s="3"/>
      <c r="AY105" s="3"/>
      <c r="AZ105" s="3"/>
      <c r="BA105" s="3"/>
      <c r="BB105" s="3"/>
      <c r="BC105" s="3"/>
      <c r="BD105" s="3"/>
    </row>
    <row r="106" spans="20:56">
      <c r="T106" s="5"/>
      <c r="U106" s="5"/>
      <c r="V106" s="5"/>
      <c r="W106" s="1"/>
    </row>
    <row r="107" spans="20:56">
      <c r="T107" s="5"/>
      <c r="U107" s="5"/>
      <c r="V107" s="5"/>
      <c r="W107" s="1"/>
    </row>
    <row r="108" spans="20:56">
      <c r="T108" s="5"/>
      <c r="U108" s="5"/>
      <c r="V108" s="5"/>
      <c r="W108" s="1"/>
    </row>
    <row r="109" spans="20:56">
      <c r="T109" s="5"/>
      <c r="U109" s="5"/>
      <c r="V109" s="5"/>
      <c r="W109" s="1"/>
    </row>
    <row r="110" spans="20:56">
      <c r="T110" s="5"/>
      <c r="U110" s="5"/>
      <c r="V110" s="5"/>
      <c r="W110" s="1"/>
    </row>
    <row r="111" spans="20:56">
      <c r="T111" s="5"/>
      <c r="U111" s="5"/>
      <c r="V111" s="5"/>
      <c r="W111" s="5"/>
    </row>
    <row r="112" spans="20:56">
      <c r="T112" s="5"/>
      <c r="U112" s="5"/>
      <c r="V112" s="5"/>
      <c r="W112" s="5"/>
    </row>
    <row r="113" spans="20:23">
      <c r="T113" s="4"/>
      <c r="U113" s="4"/>
      <c r="V113" s="4"/>
      <c r="W113" s="5"/>
    </row>
    <row r="114" spans="20:23">
      <c r="T114" s="5"/>
      <c r="U114" s="5"/>
      <c r="V114" s="5"/>
      <c r="W114" s="5"/>
    </row>
    <row r="115" spans="20:23">
      <c r="T115" s="5"/>
      <c r="U115" s="5"/>
      <c r="V115" s="5"/>
      <c r="W115" s="5"/>
    </row>
    <row r="116" spans="20:23">
      <c r="T116" s="5"/>
      <c r="U116" s="5"/>
      <c r="V116" s="5"/>
      <c r="W116" s="5"/>
    </row>
    <row r="117" spans="20:23">
      <c r="T117" s="5"/>
      <c r="U117" s="5"/>
      <c r="V117" s="5"/>
      <c r="W117" s="5"/>
    </row>
    <row r="118" spans="20:23">
      <c r="T118" s="5"/>
      <c r="U118" s="5"/>
      <c r="V118" s="5"/>
      <c r="W118" s="5"/>
    </row>
    <row r="119" spans="20:23">
      <c r="T119" s="5"/>
      <c r="U119" s="5"/>
      <c r="V119" s="5"/>
      <c r="W119" s="5"/>
    </row>
    <row r="120" spans="20:23">
      <c r="T120" s="5"/>
      <c r="U120" s="5"/>
      <c r="V120" s="5"/>
      <c r="W120" s="5"/>
    </row>
    <row r="121" spans="20:23">
      <c r="T121" s="5"/>
      <c r="U121" s="5"/>
      <c r="V121" s="5"/>
      <c r="W121" s="5"/>
    </row>
    <row r="122" spans="20:23">
      <c r="T122" s="5"/>
      <c r="U122" s="5"/>
      <c r="V122" s="5"/>
      <c r="W122" s="5"/>
    </row>
    <row r="123" spans="20:23">
      <c r="T123" s="5"/>
      <c r="U123" s="5"/>
      <c r="V123" s="5"/>
      <c r="W123" s="5"/>
    </row>
    <row r="124" spans="20:23">
      <c r="T124" s="5"/>
      <c r="U124" s="5"/>
      <c r="V124" s="5"/>
      <c r="W124" s="5"/>
    </row>
    <row r="125" spans="20:23">
      <c r="T125" s="5"/>
      <c r="U125" s="5"/>
      <c r="V125" s="5"/>
      <c r="W125" s="5"/>
    </row>
    <row r="126" spans="20:23">
      <c r="T126" s="5"/>
      <c r="U126" s="5"/>
      <c r="V126" s="5"/>
      <c r="W126" s="5"/>
    </row>
    <row r="127" spans="20:23">
      <c r="T127" s="5"/>
      <c r="U127" s="5"/>
      <c r="V127" s="5"/>
      <c r="W127" s="5"/>
    </row>
    <row r="128" spans="20:23">
      <c r="T128" s="5"/>
      <c r="U128" s="5"/>
      <c r="V128" s="5"/>
      <c r="W128" s="5"/>
    </row>
  </sheetData>
  <mergeCells count="16">
    <mergeCell ref="A2:D2"/>
    <mergeCell ref="F2:I2"/>
    <mergeCell ref="K2:N2"/>
    <mergeCell ref="Q2:T2"/>
    <mergeCell ref="A1:N1"/>
    <mergeCell ref="V2:Y2"/>
    <mergeCell ref="AA2:AD2"/>
    <mergeCell ref="AV1:BI1"/>
    <mergeCell ref="Q1:AD1"/>
    <mergeCell ref="AV2:AY2"/>
    <mergeCell ref="BA2:BD2"/>
    <mergeCell ref="BF2:BI2"/>
    <mergeCell ref="AG1:AT1"/>
    <mergeCell ref="AG2:AJ2"/>
    <mergeCell ref="AQ2:AT2"/>
    <mergeCell ref="AL2:AO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 Zhang</dc:creator>
  <cp:lastModifiedBy>凯 张</cp:lastModifiedBy>
  <cp:lastPrinted>2024-05-06T05:59:15Z</cp:lastPrinted>
  <dcterms:created xsi:type="dcterms:W3CDTF">2015-06-05T18:19:34Z</dcterms:created>
  <dcterms:modified xsi:type="dcterms:W3CDTF">2026-07-23T13:40:06Z</dcterms:modified>
</cp:coreProperties>
</file>