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fdbd29c202a014e/07_写论文/15-OD分组-相似度-顶点着色-partC-doing/26-勘误/"/>
    </mc:Choice>
  </mc:AlternateContent>
  <xr:revisionPtr revIDLastSave="61" documentId="8_{47C9C48C-A7E4-43C3-A74C-81DF4092EF33}" xr6:coauthVersionLast="47" xr6:coauthVersionMax="47" xr10:uidLastSave="{78F38D13-C7FF-4AFC-B6CA-EDF790332F31}"/>
  <bookViews>
    <workbookView xWindow="-120" yWindow="-120" windowWidth="29040" windowHeight="15720" xr2:uid="{019C84A6-D218-4EFB-8E33-32BEB994DC88}"/>
  </bookViews>
  <sheets>
    <sheet name="Fig.12" sheetId="3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8" i="36" l="1"/>
  <c r="Y7" i="36"/>
  <c r="Y6" i="36"/>
  <c r="Y5" i="36"/>
  <c r="Y4" i="36"/>
  <c r="D8" i="36"/>
  <c r="D7" i="36"/>
  <c r="D6" i="36"/>
  <c r="D5" i="36"/>
  <c r="D4" i="36"/>
  <c r="D9" i="36"/>
</calcChain>
</file>

<file path=xl/sharedStrings.xml><?xml version="1.0" encoding="utf-8"?>
<sst xmlns="http://schemas.openxmlformats.org/spreadsheetml/2006/main" count="174" uniqueCount="16">
  <si>
    <t>RG</t>
  </si>
  <si>
    <t>used time</t>
  </si>
  <si>
    <t xml:space="preserve"> </t>
  </si>
  <si>
    <t>Anaheim</t>
  </si>
  <si>
    <t>Phi</t>
  </si>
  <si>
    <t>obj</t>
  </si>
  <si>
    <t>iter</t>
  </si>
  <si>
    <t>VC-Eq-PBCD with iGreedy</t>
  </si>
  <si>
    <t>VC-Eq-PBCD with 2iGP+moreiGreedy</t>
  </si>
  <si>
    <t>VC-Eq-PBCD with 2-3iGP+mzoreiGreedy</t>
  </si>
  <si>
    <t>VC-Eq-PBCD with 2-3-4iGP+moreiGreedy</t>
  </si>
  <si>
    <t>VC-Eq-PBCD with 2-3-4-5iGP+moreiGreedy</t>
  </si>
  <si>
    <t>VC-Eq-PBCD with 2-3-4-5-6iGP+moreiGreedy</t>
  </si>
  <si>
    <t>VC-Eq-PBCD with iGP</t>
  </si>
  <si>
    <t xml:space="preserve">Chicago-Sketch </t>
  </si>
  <si>
    <t>Birmingham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</si>
</sst>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/>
    <xf numFmtId="11" fontId="5" fillId="0" borderId="0" xfId="0" applyNumberFormat="1" applyFont="1"/>
    <xf numFmtId="0" fontId="5" fillId="0" borderId="0" xfId="0" applyFont="1" applyFill="1"/>
    <xf numFmtId="11" fontId="5" fillId="0" borderId="0" xfId="0" applyNumberFormat="1" applyFont="1" applyFill="1"/>
    <xf numFmtId="0" fontId="0" fillId="33" borderId="0" xfId="0" applyFill="1" applyAlignment="1">
      <alignment horizontal="center"/>
    </xf>
    <xf numFmtId="0" fontId="0" fillId="0" borderId="0" xfId="0"/>
    <xf numFmtId="164" fontId="0" fillId="0" borderId="0" xfId="0" applyNumberFormat="1"/>
    <xf numFmtId="164" fontId="5" fillId="0" borderId="0" xfId="0" applyNumberFormat="1" applyFont="1"/>
    <xf numFmtId="164" fontId="0" fillId="33" borderId="0" xfId="0" applyNumberFormat="1" applyFill="1" applyAlignment="1">
      <alignment horizontal="center"/>
    </xf>
    <xf numFmtId="164" fontId="4" fillId="0" borderId="0" xfId="0" applyNumberFormat="1" applyFont="1"/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</cellXfs>
  <cellStyles count="60">
    <cellStyle name="20% - 着色 1" xfId="19" builtinId="30" customBuiltin="1"/>
    <cellStyle name="20% - 着色 1 2" xfId="42" xr:uid="{D92CAA67-DF26-4B0F-9FAB-EEE60E880ACD}"/>
    <cellStyle name="20% - 着色 2" xfId="23" builtinId="34" customBuiltin="1"/>
    <cellStyle name="20% - 着色 2 2" xfId="45" xr:uid="{57F7D461-CAAC-496E-B2DE-898158217CD0}"/>
    <cellStyle name="20% - 着色 3" xfId="27" builtinId="38" customBuiltin="1"/>
    <cellStyle name="20% - 着色 3 2" xfId="48" xr:uid="{6A6F7758-8364-49D7-8B34-EACAF12C44E6}"/>
    <cellStyle name="20% - 着色 4" xfId="31" builtinId="42" customBuiltin="1"/>
    <cellStyle name="20% - 着色 4 2" xfId="51" xr:uid="{A7415D33-7D4A-4985-B74D-9E7DA8376D66}"/>
    <cellStyle name="20% - 着色 5" xfId="35" builtinId="46" customBuiltin="1"/>
    <cellStyle name="20% - 着色 5 2" xfId="54" xr:uid="{F2D31BB0-9A35-4B70-BE40-73E52FDDB3C4}"/>
    <cellStyle name="20% - 着色 6" xfId="39" builtinId="50" customBuiltin="1"/>
    <cellStyle name="20% - 着色 6 2" xfId="57" xr:uid="{569EED3F-EEB4-48BD-AB39-40AA013D0112}"/>
    <cellStyle name="40% - 着色 1" xfId="20" builtinId="31" customBuiltin="1"/>
    <cellStyle name="40% - 着色 1 2" xfId="43" xr:uid="{4259CE10-A135-4CD7-92A1-5FEF2829FC90}"/>
    <cellStyle name="40% - 着色 2" xfId="24" builtinId="35" customBuiltin="1"/>
    <cellStyle name="40% - 着色 2 2" xfId="46" xr:uid="{360D0BAF-610C-4FCD-8B86-1292B2BC6B7C}"/>
    <cellStyle name="40% - 着色 3" xfId="28" builtinId="39" customBuiltin="1"/>
    <cellStyle name="40% - 着色 3 2" xfId="49" xr:uid="{DE6874DD-F164-45D5-A9E2-68AC7C3A8FF9}"/>
    <cellStyle name="40% - 着色 4" xfId="32" builtinId="43" customBuiltin="1"/>
    <cellStyle name="40% - 着色 4 2" xfId="52" xr:uid="{08180016-1C84-4219-B50A-50151F3BF6B1}"/>
    <cellStyle name="40% - 着色 5" xfId="36" builtinId="47" customBuiltin="1"/>
    <cellStyle name="40% - 着色 5 2" xfId="55" xr:uid="{45AD561C-A33F-4ECF-9368-2AFEEBA3F46F}"/>
    <cellStyle name="40% - 着色 6" xfId="40" builtinId="51" customBuiltin="1"/>
    <cellStyle name="40% - 着色 6 2" xfId="58" xr:uid="{7E83857B-F917-4E06-8C51-716BE417AC95}"/>
    <cellStyle name="60% - 着色 1" xfId="21" builtinId="32" customBuiltin="1"/>
    <cellStyle name="60% - 着色 1 2" xfId="44" xr:uid="{3D6F067C-A086-44D6-9423-36801C4CF1D2}"/>
    <cellStyle name="60% - 着色 2" xfId="25" builtinId="36" customBuiltin="1"/>
    <cellStyle name="60% - 着色 2 2" xfId="47" xr:uid="{3A340596-EAB5-4FDA-9189-DA11ED8B953C}"/>
    <cellStyle name="60% - 着色 3" xfId="29" builtinId="40" customBuiltin="1"/>
    <cellStyle name="60% - 着色 3 2" xfId="50" xr:uid="{92C896C7-2DA5-4291-8490-FC866EE68E2A}"/>
    <cellStyle name="60% - 着色 4" xfId="33" builtinId="44" customBuiltin="1"/>
    <cellStyle name="60% - 着色 4 2" xfId="53" xr:uid="{8FCE5309-3129-465E-933A-6ABCD17100C4}"/>
    <cellStyle name="60% - 着色 5" xfId="37" builtinId="48" customBuiltin="1"/>
    <cellStyle name="60% - 着色 5 2" xfId="56" xr:uid="{AC0E880C-7862-4D3A-8F09-EDB19547E858}"/>
    <cellStyle name="60% - 着色 6" xfId="41" builtinId="52" customBuiltin="1"/>
    <cellStyle name="60% - 着色 6 2" xfId="59" xr:uid="{A606D29E-8B09-48CA-8742-C7D2572D38B1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20250801-Ana</a:t>
            </a:r>
          </a:p>
        </c:rich>
      </c:tx>
      <c:layout>
        <c:manualLayout>
          <c:xMode val="edge"/>
          <c:yMode val="edge"/>
          <c:x val="0.47673521346580588"/>
          <c:y val="4.26619308808517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48538990379873"/>
          <c:y val="7.9585978789571396E-2"/>
          <c:w val="0.81164842199603093"/>
          <c:h val="0.78208821434012443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Fig.12!$A$89</c:f>
              <c:strCache>
                <c:ptCount val="1"/>
                <c:pt idx="0">
                  <c:v>VC-Eq-PBCD with iGP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Fig.12!$D$4:$D$21</c:f>
              <c:numCache>
                <c:formatCode>General</c:formatCode>
                <c:ptCount val="18"/>
                <c:pt idx="0">
                  <c:v>1.7142857142857144E-3</c:v>
                </c:pt>
                <c:pt idx="1">
                  <c:v>3.4285714285714288E-3</c:v>
                </c:pt>
                <c:pt idx="2">
                  <c:v>5.1428571428571435E-3</c:v>
                </c:pt>
                <c:pt idx="3">
                  <c:v>6.8571428571428577E-3</c:v>
                </c:pt>
                <c:pt idx="4">
                  <c:v>8.5714285714285719E-3</c:v>
                </c:pt>
                <c:pt idx="5">
                  <c:v>1.0285714285714287E-2</c:v>
                </c:pt>
                <c:pt idx="6">
                  <c:v>1.2E-2</c:v>
                </c:pt>
                <c:pt idx="7">
                  <c:v>1.2E-2</c:v>
                </c:pt>
                <c:pt idx="8">
                  <c:v>3.9E-2</c:v>
                </c:pt>
                <c:pt idx="9">
                  <c:v>5.1999999999999998E-2</c:v>
                </c:pt>
                <c:pt idx="10">
                  <c:v>6.2E-2</c:v>
                </c:pt>
                <c:pt idx="11">
                  <c:v>8.6999999999999994E-2</c:v>
                </c:pt>
                <c:pt idx="12">
                  <c:v>0.1</c:v>
                </c:pt>
                <c:pt idx="13">
                  <c:v>0.113</c:v>
                </c:pt>
                <c:pt idx="14">
                  <c:v>0.125</c:v>
                </c:pt>
                <c:pt idx="15">
                  <c:v>0.125</c:v>
                </c:pt>
                <c:pt idx="16">
                  <c:v>0.15</c:v>
                </c:pt>
                <c:pt idx="17">
                  <c:v>0.16200000000000001</c:v>
                </c:pt>
              </c:numCache>
            </c:numRef>
          </c:xVal>
          <c:yVal>
            <c:numRef>
              <c:f>Fig.12!$C$4:$C$21</c:f>
              <c:numCache>
                <c:formatCode>0.00E+00</c:formatCode>
                <c:ptCount val="18"/>
                <c:pt idx="0" formatCode="General">
                  <c:v>2.4220605020000001E-2</c:v>
                </c:pt>
                <c:pt idx="1">
                  <c:v>2.6262999999999998E-3</c:v>
                </c:pt>
                <c:pt idx="2">
                  <c:v>1.78488E-4</c:v>
                </c:pt>
                <c:pt idx="3">
                  <c:v>1.49544E-5</c:v>
                </c:pt>
                <c:pt idx="4">
                  <c:v>1.4551E-5</c:v>
                </c:pt>
                <c:pt idx="5">
                  <c:v>7.3149899999999998E-7</c:v>
                </c:pt>
                <c:pt idx="6">
                  <c:v>2.1559399999999999E-7</c:v>
                </c:pt>
                <c:pt idx="7">
                  <c:v>6.4841899999999997E-9</c:v>
                </c:pt>
                <c:pt idx="8">
                  <c:v>5.1458799999999996E-10</c:v>
                </c:pt>
                <c:pt idx="9">
                  <c:v>1.5842999999999999E-10</c:v>
                </c:pt>
                <c:pt idx="10">
                  <c:v>7.4345999999999998E-11</c:v>
                </c:pt>
                <c:pt idx="11">
                  <c:v>3.6049299999999997E-11</c:v>
                </c:pt>
                <c:pt idx="12">
                  <c:v>1.7550899999999999E-11</c:v>
                </c:pt>
                <c:pt idx="13">
                  <c:v>9.1084999999999998E-12</c:v>
                </c:pt>
                <c:pt idx="14">
                  <c:v>5.0040900000000003E-12</c:v>
                </c:pt>
                <c:pt idx="15">
                  <c:v>2.7439800000000002E-12</c:v>
                </c:pt>
                <c:pt idx="16">
                  <c:v>1.5002799999999999E-12</c:v>
                </c:pt>
                <c:pt idx="17">
                  <c:v>8.2288199999999997E-13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63-4579-9C72-51DC0F5284F4}"/>
            </c:ext>
          </c:extLst>
        </c:ser>
        <c:ser>
          <c:idx val="4"/>
          <c:order val="1"/>
          <c:tx>
            <c:strRef>
              <c:f>Fig.12!$AF$89:$AI$89</c:f>
              <c:strCache>
                <c:ptCount val="1"/>
                <c:pt idx="0">
                  <c:v>VC-Eq-PBCD with iGreedy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Fig.12!$AI$4:$AI$21</c:f>
              <c:numCache>
                <c:formatCode>General</c:formatCode>
                <c:ptCount val="18"/>
                <c:pt idx="0">
                  <c:v>1.9998550419999999E-3</c:v>
                </c:pt>
                <c:pt idx="1">
                  <c:v>6.0000000000000001E-3</c:v>
                </c:pt>
                <c:pt idx="2">
                  <c:v>1.0999999999999999E-2</c:v>
                </c:pt>
                <c:pt idx="3">
                  <c:v>1.4E-2</c:v>
                </c:pt>
                <c:pt idx="4">
                  <c:v>1.4999999999999999E-2</c:v>
                </c:pt>
                <c:pt idx="5">
                  <c:v>1.9E-2</c:v>
                </c:pt>
                <c:pt idx="6">
                  <c:v>2.1999999999999999E-2</c:v>
                </c:pt>
                <c:pt idx="7">
                  <c:v>3.4000000000000002E-2</c:v>
                </c:pt>
                <c:pt idx="8">
                  <c:v>3.9E-2</c:v>
                </c:pt>
                <c:pt idx="9">
                  <c:v>5.5E-2</c:v>
                </c:pt>
                <c:pt idx="10">
                  <c:v>7.1999999999999995E-2</c:v>
                </c:pt>
                <c:pt idx="11">
                  <c:v>8.7999999999999995E-2</c:v>
                </c:pt>
                <c:pt idx="12">
                  <c:v>8.7999999999999995E-2</c:v>
                </c:pt>
                <c:pt idx="13">
                  <c:v>0.109</c:v>
                </c:pt>
                <c:pt idx="14">
                  <c:v>0.122</c:v>
                </c:pt>
                <c:pt idx="15">
                  <c:v>0.13900000000000001</c:v>
                </c:pt>
                <c:pt idx="16">
                  <c:v>0.155</c:v>
                </c:pt>
                <c:pt idx="17">
                  <c:v>0.157</c:v>
                </c:pt>
              </c:numCache>
            </c:numRef>
          </c:xVal>
          <c:yVal>
            <c:numRef>
              <c:f>Fig.12!$AH$4:$AH$21</c:f>
              <c:numCache>
                <c:formatCode>0.00E+00</c:formatCode>
                <c:ptCount val="18"/>
                <c:pt idx="0" formatCode="General">
                  <c:v>2.4220605020000001E-2</c:v>
                </c:pt>
                <c:pt idx="1">
                  <c:v>2.6262999999999998E-3</c:v>
                </c:pt>
                <c:pt idx="2">
                  <c:v>1.78488E-4</c:v>
                </c:pt>
                <c:pt idx="3">
                  <c:v>1.49544E-5</c:v>
                </c:pt>
                <c:pt idx="4">
                  <c:v>1.4551E-5</c:v>
                </c:pt>
                <c:pt idx="5">
                  <c:v>7.3149899999999998E-7</c:v>
                </c:pt>
                <c:pt idx="6">
                  <c:v>2.1559399999999999E-7</c:v>
                </c:pt>
                <c:pt idx="7">
                  <c:v>6.4841899999999997E-9</c:v>
                </c:pt>
                <c:pt idx="8">
                  <c:v>5.1458799999999996E-10</c:v>
                </c:pt>
                <c:pt idx="9">
                  <c:v>1.5842999999999999E-10</c:v>
                </c:pt>
                <c:pt idx="10">
                  <c:v>7.4345999999999998E-11</c:v>
                </c:pt>
                <c:pt idx="11">
                  <c:v>3.6049299999999997E-11</c:v>
                </c:pt>
                <c:pt idx="12">
                  <c:v>1.7550899999999999E-11</c:v>
                </c:pt>
                <c:pt idx="13">
                  <c:v>9.1084999999999998E-12</c:v>
                </c:pt>
                <c:pt idx="14">
                  <c:v>5.0040900000000003E-12</c:v>
                </c:pt>
                <c:pt idx="15">
                  <c:v>2.7439800000000002E-12</c:v>
                </c:pt>
                <c:pt idx="16">
                  <c:v>1.5002799999999999E-12</c:v>
                </c:pt>
                <c:pt idx="17">
                  <c:v>8.2288199999999997E-13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163-4579-9C72-51DC0F5284F4}"/>
            </c:ext>
          </c:extLst>
        </c:ser>
        <c:ser>
          <c:idx val="1"/>
          <c:order val="2"/>
          <c:tx>
            <c:strRef>
              <c:f>Fig.12!$F$89</c:f>
              <c:strCache>
                <c:ptCount val="1"/>
                <c:pt idx="0">
                  <c:v>VC-Eq-PBCD with 2iGP+moreiGreedy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Fig.12!$I$4:$I$20</c:f>
              <c:numCache>
                <c:formatCode>General</c:formatCode>
                <c:ptCount val="17"/>
                <c:pt idx="0">
                  <c:v>3.0000209809999999E-3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6.0000000000000001E-3</c:v>
                </c:pt>
                <c:pt idx="4">
                  <c:v>6.0000000000000001E-3</c:v>
                </c:pt>
                <c:pt idx="5">
                  <c:v>1.7000000000000001E-2</c:v>
                </c:pt>
                <c:pt idx="6">
                  <c:v>1.9E-2</c:v>
                </c:pt>
                <c:pt idx="7">
                  <c:v>3.4000000000000002E-2</c:v>
                </c:pt>
                <c:pt idx="8">
                  <c:v>4.8000000000000001E-2</c:v>
                </c:pt>
                <c:pt idx="9">
                  <c:v>6.2E-2</c:v>
                </c:pt>
                <c:pt idx="10">
                  <c:v>7.5999999999999998E-2</c:v>
                </c:pt>
                <c:pt idx="11">
                  <c:v>8.3000000000000004E-2</c:v>
                </c:pt>
                <c:pt idx="12">
                  <c:v>9.9000000000000005E-2</c:v>
                </c:pt>
                <c:pt idx="13">
                  <c:v>9.9000000000000005E-2</c:v>
                </c:pt>
                <c:pt idx="14">
                  <c:v>0.11600000000000001</c:v>
                </c:pt>
                <c:pt idx="15">
                  <c:v>0.13300000000000001</c:v>
                </c:pt>
                <c:pt idx="16">
                  <c:v>0.152</c:v>
                </c:pt>
              </c:numCache>
            </c:numRef>
          </c:xVal>
          <c:yVal>
            <c:numRef>
              <c:f>Fig.12!$H$4:$H$20</c:f>
              <c:numCache>
                <c:formatCode>0.00E+00</c:formatCode>
                <c:ptCount val="17"/>
                <c:pt idx="0" formatCode="General">
                  <c:v>2.4220605020000001E-2</c:v>
                </c:pt>
                <c:pt idx="1">
                  <c:v>9.6596900000000001E-4</c:v>
                </c:pt>
                <c:pt idx="2">
                  <c:v>8.1840499999999997E-5</c:v>
                </c:pt>
                <c:pt idx="3">
                  <c:v>8.3699900000000005E-6</c:v>
                </c:pt>
                <c:pt idx="4">
                  <c:v>1.2803E-6</c:v>
                </c:pt>
                <c:pt idx="5">
                  <c:v>2.4355999999999999E-7</c:v>
                </c:pt>
                <c:pt idx="6">
                  <c:v>1.57807E-7</c:v>
                </c:pt>
                <c:pt idx="7">
                  <c:v>7.0804800000000003E-9</c:v>
                </c:pt>
                <c:pt idx="8">
                  <c:v>4.2362300000000001E-10</c:v>
                </c:pt>
                <c:pt idx="9">
                  <c:v>1.2703700000000001E-10</c:v>
                </c:pt>
                <c:pt idx="10">
                  <c:v>5.9027500000000006E-11</c:v>
                </c:pt>
                <c:pt idx="11">
                  <c:v>2.8699099999999999E-11</c:v>
                </c:pt>
                <c:pt idx="12">
                  <c:v>1.40075E-11</c:v>
                </c:pt>
                <c:pt idx="13">
                  <c:v>6.8668799999999999E-12</c:v>
                </c:pt>
                <c:pt idx="14">
                  <c:v>3.36152E-12</c:v>
                </c:pt>
                <c:pt idx="15">
                  <c:v>1.64466E-12</c:v>
                </c:pt>
                <c:pt idx="16">
                  <c:v>8.0665E-13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63-4579-9C72-51DC0F5284F4}"/>
            </c:ext>
          </c:extLst>
        </c:ser>
        <c:ser>
          <c:idx val="2"/>
          <c:order val="3"/>
          <c:tx>
            <c:strRef>
              <c:f>Fig.12!$K$2:$N$2</c:f>
              <c:strCache>
                <c:ptCount val="1"/>
                <c:pt idx="0">
                  <c:v>VC-Eq-PBCD with 2-3iGP+mzoreiGreedy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Fig.12!$N$4:$N$20</c:f>
              <c:numCache>
                <c:formatCode>General</c:formatCode>
                <c:ptCount val="17"/>
                <c:pt idx="0">
                  <c:v>9.9992752079999998E-4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1.7000000000000001E-2</c:v>
                </c:pt>
                <c:pt idx="7">
                  <c:v>1.9E-2</c:v>
                </c:pt>
                <c:pt idx="8">
                  <c:v>3.2000000000000001E-2</c:v>
                </c:pt>
                <c:pt idx="9">
                  <c:v>4.2000000000000003E-2</c:v>
                </c:pt>
                <c:pt idx="10">
                  <c:v>0.06</c:v>
                </c:pt>
                <c:pt idx="11">
                  <c:v>7.4999999999999997E-2</c:v>
                </c:pt>
                <c:pt idx="12">
                  <c:v>8.2000000000000003E-2</c:v>
                </c:pt>
                <c:pt idx="13">
                  <c:v>9.7000000000000003E-2</c:v>
                </c:pt>
                <c:pt idx="14">
                  <c:v>0.113</c:v>
                </c:pt>
                <c:pt idx="15">
                  <c:v>0.129</c:v>
                </c:pt>
              </c:numCache>
            </c:numRef>
          </c:xVal>
          <c:yVal>
            <c:numRef>
              <c:f>Fig.12!$M$4:$M$20</c:f>
              <c:numCache>
                <c:formatCode>0.00E+00</c:formatCode>
                <c:ptCount val="17"/>
                <c:pt idx="0" formatCode="General">
                  <c:v>2.4220605020000001E-2</c:v>
                </c:pt>
                <c:pt idx="1">
                  <c:v>9.6596900000000001E-4</c:v>
                </c:pt>
                <c:pt idx="2">
                  <c:v>8.3036799999999998E-5</c:v>
                </c:pt>
                <c:pt idx="3">
                  <c:v>3.3431099999999999E-5</c:v>
                </c:pt>
                <c:pt idx="4">
                  <c:v>1.01286E-5</c:v>
                </c:pt>
                <c:pt idx="5">
                  <c:v>2.3740099999999999E-6</c:v>
                </c:pt>
                <c:pt idx="6">
                  <c:v>6.1649799999999999E-7</c:v>
                </c:pt>
                <c:pt idx="7">
                  <c:v>4.3495499999999999E-7</c:v>
                </c:pt>
                <c:pt idx="8">
                  <c:v>1.4243299999999999E-7</c:v>
                </c:pt>
                <c:pt idx="9">
                  <c:v>4.8877E-9</c:v>
                </c:pt>
                <c:pt idx="10">
                  <c:v>2.09855E-10</c:v>
                </c:pt>
                <c:pt idx="11">
                  <c:v>3.14258E-11</c:v>
                </c:pt>
                <c:pt idx="12">
                  <c:v>1.00141E-11</c:v>
                </c:pt>
                <c:pt idx="13">
                  <c:v>4.12347E-12</c:v>
                </c:pt>
                <c:pt idx="14">
                  <c:v>1.7416E-12</c:v>
                </c:pt>
                <c:pt idx="15">
                  <c:v>3.3641400000000001E-13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63-4579-9C72-51DC0F5284F4}"/>
            </c:ext>
          </c:extLst>
        </c:ser>
        <c:ser>
          <c:idx val="3"/>
          <c:order val="4"/>
          <c:tx>
            <c:strRef>
              <c:f>Fig.12!$P$2:$S$2</c:f>
              <c:strCache>
                <c:ptCount val="1"/>
                <c:pt idx="0">
                  <c:v>VC-Eq-PBCD with 2-3-4iGP+moreiGreedy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Fig.12!$S$4:$S$19</c:f>
              <c:numCache>
                <c:formatCode>General</c:formatCode>
                <c:ptCount val="16"/>
                <c:pt idx="0">
                  <c:v>3.9999485020000003E-3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1.9E-2</c:v>
                </c:pt>
                <c:pt idx="7">
                  <c:v>3.1E-2</c:v>
                </c:pt>
                <c:pt idx="8">
                  <c:v>3.1E-2</c:v>
                </c:pt>
                <c:pt idx="9">
                  <c:v>4.2000000000000003E-2</c:v>
                </c:pt>
                <c:pt idx="10">
                  <c:v>5.8999999999999997E-2</c:v>
                </c:pt>
                <c:pt idx="11">
                  <c:v>7.4999999999999997E-2</c:v>
                </c:pt>
                <c:pt idx="12">
                  <c:v>9.1999999999999998E-2</c:v>
                </c:pt>
                <c:pt idx="13">
                  <c:v>0.109</c:v>
                </c:pt>
                <c:pt idx="14">
                  <c:v>0.126</c:v>
                </c:pt>
                <c:pt idx="15">
                  <c:v>0.14499999999999999</c:v>
                </c:pt>
              </c:numCache>
            </c:numRef>
          </c:xVal>
          <c:yVal>
            <c:numRef>
              <c:f>Fig.12!$R$4:$R$19</c:f>
              <c:numCache>
                <c:formatCode>0.00E+00</c:formatCode>
                <c:ptCount val="16"/>
                <c:pt idx="0" formatCode="General">
                  <c:v>2.4220605020000001E-2</c:v>
                </c:pt>
                <c:pt idx="1">
                  <c:v>9.6596900000000001E-4</c:v>
                </c:pt>
                <c:pt idx="2">
                  <c:v>8.3036799999999998E-5</c:v>
                </c:pt>
                <c:pt idx="3">
                  <c:v>3.3151700000000003E-5</c:v>
                </c:pt>
                <c:pt idx="4">
                  <c:v>1.0136799999999999E-5</c:v>
                </c:pt>
                <c:pt idx="5">
                  <c:v>2.4216799999999999E-6</c:v>
                </c:pt>
                <c:pt idx="6">
                  <c:v>6.1659999999999995E-7</c:v>
                </c:pt>
                <c:pt idx="7">
                  <c:v>4.47009E-7</c:v>
                </c:pt>
                <c:pt idx="8">
                  <c:v>1.4257199999999999E-7</c:v>
                </c:pt>
                <c:pt idx="9">
                  <c:v>7.0243700000000002E-9</c:v>
                </c:pt>
                <c:pt idx="10">
                  <c:v>3.3350699999999999E-10</c:v>
                </c:pt>
                <c:pt idx="11">
                  <c:v>3.3523500000000002E-11</c:v>
                </c:pt>
                <c:pt idx="12">
                  <c:v>9.4234800000000006E-12</c:v>
                </c:pt>
                <c:pt idx="13">
                  <c:v>3.1612500000000001E-12</c:v>
                </c:pt>
                <c:pt idx="14">
                  <c:v>1.1078299999999999E-12</c:v>
                </c:pt>
                <c:pt idx="15">
                  <c:v>3.8971500000000002E-13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63-4579-9C72-51DC0F5284F4}"/>
            </c:ext>
          </c:extLst>
        </c:ser>
        <c:ser>
          <c:idx val="6"/>
          <c:order val="5"/>
          <c:tx>
            <c:strRef>
              <c:f>Fig.12!$V$89</c:f>
              <c:strCache>
                <c:ptCount val="1"/>
                <c:pt idx="0">
                  <c:v>VC-Eq-PBCD with 2-3-4-5iGP+moreiGreedy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Fig.12!$Y$4:$Y$20</c:f>
              <c:numCache>
                <c:formatCode>General</c:formatCode>
                <c:ptCount val="17"/>
                <c:pt idx="0">
                  <c:v>4.2857142857142859E-3</c:v>
                </c:pt>
                <c:pt idx="1">
                  <c:v>6.4285714285714285E-3</c:v>
                </c:pt>
                <c:pt idx="2">
                  <c:v>8.5714285714285719E-3</c:v>
                </c:pt>
                <c:pt idx="3">
                  <c:v>1.0714285714285714E-2</c:v>
                </c:pt>
                <c:pt idx="4">
                  <c:v>1.2857142857142857E-2</c:v>
                </c:pt>
                <c:pt idx="5">
                  <c:v>1.4999999999999999E-2</c:v>
                </c:pt>
                <c:pt idx="6">
                  <c:v>1.9E-2</c:v>
                </c:pt>
                <c:pt idx="7">
                  <c:v>0.03</c:v>
                </c:pt>
                <c:pt idx="8">
                  <c:v>0.03</c:v>
                </c:pt>
                <c:pt idx="9">
                  <c:v>4.7E-2</c:v>
                </c:pt>
                <c:pt idx="10">
                  <c:v>6.3E-2</c:v>
                </c:pt>
                <c:pt idx="11">
                  <c:v>7.8E-2</c:v>
                </c:pt>
                <c:pt idx="12">
                  <c:v>9.5000000000000001E-2</c:v>
                </c:pt>
                <c:pt idx="13">
                  <c:v>0.112</c:v>
                </c:pt>
                <c:pt idx="14">
                  <c:v>0.128</c:v>
                </c:pt>
                <c:pt idx="15">
                  <c:v>0.14399999999999999</c:v>
                </c:pt>
              </c:numCache>
            </c:numRef>
          </c:xVal>
          <c:yVal>
            <c:numRef>
              <c:f>Fig.12!$X$4:$X$20</c:f>
              <c:numCache>
                <c:formatCode>0.00E+00</c:formatCode>
                <c:ptCount val="17"/>
                <c:pt idx="0" formatCode="General">
                  <c:v>2.4220605020000001E-2</c:v>
                </c:pt>
                <c:pt idx="1">
                  <c:v>9.6596900000000001E-4</c:v>
                </c:pt>
                <c:pt idx="2">
                  <c:v>8.3036799999999998E-5</c:v>
                </c:pt>
                <c:pt idx="3">
                  <c:v>3.3151700000000003E-5</c:v>
                </c:pt>
                <c:pt idx="4">
                  <c:v>1.0136700000000001E-5</c:v>
                </c:pt>
                <c:pt idx="5">
                  <c:v>2.4218599999999998E-6</c:v>
                </c:pt>
                <c:pt idx="6">
                  <c:v>6.16176E-7</c:v>
                </c:pt>
                <c:pt idx="7">
                  <c:v>4.4703299999999998E-7</c:v>
                </c:pt>
                <c:pt idx="8">
                  <c:v>1.4219500000000001E-7</c:v>
                </c:pt>
                <c:pt idx="9">
                  <c:v>6.0246000000000001E-9</c:v>
                </c:pt>
                <c:pt idx="10">
                  <c:v>3.0228899999999999E-10</c:v>
                </c:pt>
                <c:pt idx="11">
                  <c:v>3.2172699999999998E-11</c:v>
                </c:pt>
                <c:pt idx="12">
                  <c:v>8.8955900000000001E-12</c:v>
                </c:pt>
                <c:pt idx="13">
                  <c:v>3.0111800000000001E-12</c:v>
                </c:pt>
                <c:pt idx="14">
                  <c:v>1.04826E-12</c:v>
                </c:pt>
                <c:pt idx="15">
                  <c:v>4.0092499999999998E-13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63-4579-9C72-51DC0F5284F4}"/>
            </c:ext>
          </c:extLst>
        </c:ser>
        <c:ser>
          <c:idx val="7"/>
          <c:order val="6"/>
          <c:tx>
            <c:strRef>
              <c:f>Fig.12!$AA$89</c:f>
              <c:strCache>
                <c:ptCount val="1"/>
                <c:pt idx="0">
                  <c:v>VC-Eq-PBCD with 2-3-4-5-6iGP+moreiGreedy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Fig.12!$AD$4:$AD$20</c:f>
              <c:numCache>
                <c:formatCode>General</c:formatCode>
                <c:ptCount val="17"/>
                <c:pt idx="0">
                  <c:v>9.9992752079999998E-4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1.7000000000000001E-2</c:v>
                </c:pt>
                <c:pt idx="7">
                  <c:v>1.7999999999999999E-2</c:v>
                </c:pt>
                <c:pt idx="8">
                  <c:v>3.4000000000000002E-2</c:v>
                </c:pt>
                <c:pt idx="9">
                  <c:v>0.04</c:v>
                </c:pt>
                <c:pt idx="10">
                  <c:v>6.0999999999999999E-2</c:v>
                </c:pt>
                <c:pt idx="11">
                  <c:v>7.4999999999999997E-2</c:v>
                </c:pt>
                <c:pt idx="12">
                  <c:v>8.2000000000000003E-2</c:v>
                </c:pt>
                <c:pt idx="13">
                  <c:v>9.8000000000000004E-2</c:v>
                </c:pt>
                <c:pt idx="14">
                  <c:v>0.114</c:v>
                </c:pt>
                <c:pt idx="15">
                  <c:v>0.129</c:v>
                </c:pt>
              </c:numCache>
            </c:numRef>
          </c:xVal>
          <c:yVal>
            <c:numRef>
              <c:f>Fig.12!$AC$4:$AC$20</c:f>
              <c:numCache>
                <c:formatCode>0.00E+00</c:formatCode>
                <c:ptCount val="17"/>
                <c:pt idx="0" formatCode="General">
                  <c:v>2.4220605020000001E-2</c:v>
                </c:pt>
                <c:pt idx="1">
                  <c:v>9.6596900000000001E-4</c:v>
                </c:pt>
                <c:pt idx="2">
                  <c:v>8.3036799999999998E-5</c:v>
                </c:pt>
                <c:pt idx="3">
                  <c:v>3.3151700000000003E-5</c:v>
                </c:pt>
                <c:pt idx="4">
                  <c:v>1.0136700000000001E-5</c:v>
                </c:pt>
                <c:pt idx="5">
                  <c:v>2.4218599999999998E-6</c:v>
                </c:pt>
                <c:pt idx="6">
                  <c:v>6.16176E-7</c:v>
                </c:pt>
                <c:pt idx="7">
                  <c:v>4.4703299999999998E-7</c:v>
                </c:pt>
                <c:pt idx="8">
                  <c:v>1.4219500000000001E-7</c:v>
                </c:pt>
                <c:pt idx="9">
                  <c:v>6.0246000000000001E-9</c:v>
                </c:pt>
                <c:pt idx="10">
                  <c:v>3.0228899999999999E-10</c:v>
                </c:pt>
                <c:pt idx="11">
                  <c:v>3.2172699999999998E-11</c:v>
                </c:pt>
                <c:pt idx="12">
                  <c:v>8.8955900000000001E-12</c:v>
                </c:pt>
                <c:pt idx="13">
                  <c:v>3.0111800000000001E-12</c:v>
                </c:pt>
                <c:pt idx="14">
                  <c:v>1.04826E-12</c:v>
                </c:pt>
                <c:pt idx="15">
                  <c:v>4.0092499999999998E-13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63-4579-9C72-51DC0F528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2.6470571579205151E-2"/>
              <c:y val="0.38345615526964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6008122500220661"/>
          <c:y val="8.5357579551173221E-2"/>
          <c:w val="0.49056359841981001"/>
          <c:h val="0.36588184256850714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CS-20250803</a:t>
            </a:r>
          </a:p>
        </c:rich>
      </c:tx>
      <c:layout>
        <c:manualLayout>
          <c:xMode val="edge"/>
          <c:yMode val="edge"/>
          <c:x val="0.47673521346580588"/>
          <c:y val="4.26619308808517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72025198044331"/>
          <c:y val="7.7228480729866544E-2"/>
          <c:w val="0.81164842199603093"/>
          <c:h val="0.78208821434012443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Fig.12!$A$89</c:f>
              <c:strCache>
                <c:ptCount val="1"/>
                <c:pt idx="0">
                  <c:v>VC-Eq-PBCD with iGP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Fig.12!$D$29:$D$62</c:f>
              <c:numCache>
                <c:formatCode>General</c:formatCode>
                <c:ptCount val="34"/>
                <c:pt idx="0">
                  <c:v>3.2000064850000003E-2</c:v>
                </c:pt>
                <c:pt idx="1">
                  <c:v>8.8999986650000001E-2</c:v>
                </c:pt>
                <c:pt idx="2">
                  <c:v>0.12199997899999999</c:v>
                </c:pt>
                <c:pt idx="3">
                  <c:v>0.15300011629999999</c:v>
                </c:pt>
                <c:pt idx="4">
                  <c:v>0.18499994280000001</c:v>
                </c:pt>
                <c:pt idx="5">
                  <c:v>0.22000002860000001</c:v>
                </c:pt>
                <c:pt idx="6">
                  <c:v>0.25100016590000002</c:v>
                </c:pt>
                <c:pt idx="7">
                  <c:v>0.29100012780000001</c:v>
                </c:pt>
                <c:pt idx="8">
                  <c:v>0.32299995419999999</c:v>
                </c:pt>
                <c:pt idx="9">
                  <c:v>0.35500001910000001</c:v>
                </c:pt>
                <c:pt idx="10">
                  <c:v>0.41199994089999997</c:v>
                </c:pt>
                <c:pt idx="11">
                  <c:v>0.48500013349999999</c:v>
                </c:pt>
                <c:pt idx="12">
                  <c:v>0.51500010490000003</c:v>
                </c:pt>
                <c:pt idx="13">
                  <c:v>0.54699993130000002</c:v>
                </c:pt>
                <c:pt idx="14">
                  <c:v>0.58000016210000005</c:v>
                </c:pt>
                <c:pt idx="15">
                  <c:v>0.61000013350000004</c:v>
                </c:pt>
                <c:pt idx="16">
                  <c:v>0.64199995990000003</c:v>
                </c:pt>
                <c:pt idx="17">
                  <c:v>0.90700006479999995</c:v>
                </c:pt>
                <c:pt idx="18">
                  <c:v>0.93700003620000005</c:v>
                </c:pt>
                <c:pt idx="19">
                  <c:v>0.97000002860000001</c:v>
                </c:pt>
                <c:pt idx="20">
                  <c:v>1.003999949</c:v>
                </c:pt>
                <c:pt idx="21">
                  <c:v>1.121000051</c:v>
                </c:pt>
                <c:pt idx="22">
                  <c:v>1.268000126</c:v>
                </c:pt>
                <c:pt idx="23">
                  <c:v>1.3289999960000001</c:v>
                </c:pt>
                <c:pt idx="24">
                  <c:v>1.3980000020000001</c:v>
                </c:pt>
                <c:pt idx="25">
                  <c:v>1.444000006</c:v>
                </c:pt>
                <c:pt idx="26">
                  <c:v>1.8470001220000001</c:v>
                </c:pt>
                <c:pt idx="27">
                  <c:v>1.875</c:v>
                </c:pt>
                <c:pt idx="28">
                  <c:v>1.9049999710000001</c:v>
                </c:pt>
                <c:pt idx="29">
                  <c:v>1.9370000359999999</c:v>
                </c:pt>
                <c:pt idx="30">
                  <c:v>1.998000145</c:v>
                </c:pt>
                <c:pt idx="31">
                  <c:v>2.0729999540000001</c:v>
                </c:pt>
                <c:pt idx="32">
                  <c:v>2.1150000100000002</c:v>
                </c:pt>
                <c:pt idx="33">
                  <c:v>3.7910001279999999</c:v>
                </c:pt>
              </c:numCache>
            </c:numRef>
          </c:xVal>
          <c:yVal>
            <c:numRef>
              <c:f>Fig.12!$C$29:$C$62</c:f>
              <c:numCache>
                <c:formatCode>General</c:formatCode>
                <c:ptCount val="34"/>
                <c:pt idx="0">
                  <c:v>0.83635351250000001</c:v>
                </c:pt>
                <c:pt idx="1">
                  <c:v>3.3416689940000001E-2</c:v>
                </c:pt>
                <c:pt idx="2">
                  <c:v>7.455493784E-3</c:v>
                </c:pt>
                <c:pt idx="3">
                  <c:v>2.3092519650000001E-3</c:v>
                </c:pt>
                <c:pt idx="4">
                  <c:v>8.8097773140000005E-4</c:v>
                </c:pt>
                <c:pt idx="5">
                  <c:v>1.712330536E-4</c:v>
                </c:pt>
                <c:pt idx="6" formatCode="0.00E+00">
                  <c:v>4.1217651529999997E-5</c:v>
                </c:pt>
                <c:pt idx="7" formatCode="0.00E+00">
                  <c:v>1.7272889830000001E-5</c:v>
                </c:pt>
                <c:pt idx="8" formatCode="0.00E+00">
                  <c:v>1.49371772E-5</c:v>
                </c:pt>
                <c:pt idx="9" formatCode="0.00E+00">
                  <c:v>1.3199744960000001E-6</c:v>
                </c:pt>
                <c:pt idx="10" formatCode="0.00E+00">
                  <c:v>2.3619815279999999E-7</c:v>
                </c:pt>
                <c:pt idx="11" formatCode="0.00E+00">
                  <c:v>2.3619815279999999E-7</c:v>
                </c:pt>
                <c:pt idx="12" formatCode="0.00E+00">
                  <c:v>2.3619815279999999E-7</c:v>
                </c:pt>
                <c:pt idx="13" formatCode="0.00E+00">
                  <c:v>2.3619815279999999E-7</c:v>
                </c:pt>
                <c:pt idx="14" formatCode="0.00E+00">
                  <c:v>2.3619815279999999E-7</c:v>
                </c:pt>
                <c:pt idx="15" formatCode="0.00E+00">
                  <c:v>1.108993914E-7</c:v>
                </c:pt>
                <c:pt idx="16" formatCode="0.00E+00">
                  <c:v>2.6549835169999999E-8</c:v>
                </c:pt>
                <c:pt idx="17" formatCode="0.00E+00">
                  <c:v>2.6549835169999999E-8</c:v>
                </c:pt>
                <c:pt idx="18" formatCode="0.00E+00">
                  <c:v>2.6549835169999999E-8</c:v>
                </c:pt>
                <c:pt idx="19" formatCode="0.00E+00">
                  <c:v>2.6549835169999999E-8</c:v>
                </c:pt>
                <c:pt idx="20" formatCode="0.00E+00">
                  <c:v>2.6549835169999999E-8</c:v>
                </c:pt>
                <c:pt idx="21" formatCode="0.00E+00">
                  <c:v>2.3471802700000002E-8</c:v>
                </c:pt>
                <c:pt idx="22" formatCode="0.00E+00">
                  <c:v>2.3471802700000002E-8</c:v>
                </c:pt>
                <c:pt idx="23" formatCode="0.00E+00">
                  <c:v>2.3471802700000002E-8</c:v>
                </c:pt>
                <c:pt idx="24" formatCode="0.00E+00">
                  <c:v>1.658835888E-8</c:v>
                </c:pt>
                <c:pt idx="25" formatCode="0.00E+00">
                  <c:v>6.7116220880000002E-9</c:v>
                </c:pt>
                <c:pt idx="26" formatCode="0.00E+00">
                  <c:v>6.7116220880000002E-9</c:v>
                </c:pt>
                <c:pt idx="27" formatCode="0.00E+00">
                  <c:v>6.7116220880000002E-9</c:v>
                </c:pt>
                <c:pt idx="28" formatCode="0.00E+00">
                  <c:v>6.7116220880000002E-9</c:v>
                </c:pt>
                <c:pt idx="29" formatCode="0.00E+00">
                  <c:v>6.7116220880000002E-9</c:v>
                </c:pt>
                <c:pt idx="30" formatCode="0.00E+00">
                  <c:v>6.7116220880000002E-9</c:v>
                </c:pt>
                <c:pt idx="31" formatCode="0.00E+00">
                  <c:v>3.5150251939999998E-10</c:v>
                </c:pt>
                <c:pt idx="32" formatCode="0.00E+00">
                  <c:v>8.8081724860000006E-11</c:v>
                </c:pt>
                <c:pt idx="33" formatCode="0.00E+00">
                  <c:v>1.765146785E-12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D-42AA-BB92-A1AE10F8B7DB}"/>
            </c:ext>
          </c:extLst>
        </c:ser>
        <c:ser>
          <c:idx val="4"/>
          <c:order val="1"/>
          <c:tx>
            <c:strRef>
              <c:f>Fig.12!$AF$89:$AI$89</c:f>
              <c:strCache>
                <c:ptCount val="1"/>
                <c:pt idx="0">
                  <c:v>VC-Eq-PBCD with iGreedy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Fig.12!$AI$29:$AI$52</c:f>
              <c:numCache>
                <c:formatCode>General</c:formatCode>
                <c:ptCount val="24"/>
                <c:pt idx="0">
                  <c:v>4.6999931340000002E-2</c:v>
                </c:pt>
                <c:pt idx="1">
                  <c:v>0.11</c:v>
                </c:pt>
                <c:pt idx="2">
                  <c:v>0.16</c:v>
                </c:pt>
                <c:pt idx="3">
                  <c:v>0.20200000000000001</c:v>
                </c:pt>
                <c:pt idx="4">
                  <c:v>0.249</c:v>
                </c:pt>
                <c:pt idx="5">
                  <c:v>0.28499999999999998</c:v>
                </c:pt>
                <c:pt idx="6">
                  <c:v>0.33400000000000002</c:v>
                </c:pt>
                <c:pt idx="7">
                  <c:v>0.376</c:v>
                </c:pt>
                <c:pt idx="8">
                  <c:v>0.42199999999999999</c:v>
                </c:pt>
                <c:pt idx="9">
                  <c:v>0.48099999999999998</c:v>
                </c:pt>
                <c:pt idx="10">
                  <c:v>0.60399999999999998</c:v>
                </c:pt>
                <c:pt idx="11">
                  <c:v>0.67200000000000004</c:v>
                </c:pt>
                <c:pt idx="12">
                  <c:v>0.72199999999999998</c:v>
                </c:pt>
                <c:pt idx="13">
                  <c:v>0.76800000000000002</c:v>
                </c:pt>
                <c:pt idx="14">
                  <c:v>0.85</c:v>
                </c:pt>
                <c:pt idx="15">
                  <c:v>0.88500000000000001</c:v>
                </c:pt>
                <c:pt idx="16">
                  <c:v>0.96799999999999997</c:v>
                </c:pt>
                <c:pt idx="17">
                  <c:v>1.0129999999999999</c:v>
                </c:pt>
                <c:pt idx="18">
                  <c:v>1.1659999999999999</c:v>
                </c:pt>
                <c:pt idx="19">
                  <c:v>1.2130000000000001</c:v>
                </c:pt>
                <c:pt idx="20">
                  <c:v>1.268</c:v>
                </c:pt>
                <c:pt idx="21">
                  <c:v>1.3129999999999999</c:v>
                </c:pt>
                <c:pt idx="22">
                  <c:v>1.363</c:v>
                </c:pt>
                <c:pt idx="23">
                  <c:v>1.403</c:v>
                </c:pt>
              </c:numCache>
            </c:numRef>
          </c:xVal>
          <c:yVal>
            <c:numRef>
              <c:f>Fig.12!$AH$29:$AH$52</c:f>
              <c:numCache>
                <c:formatCode>0.00E+00</c:formatCode>
                <c:ptCount val="24"/>
                <c:pt idx="0" formatCode="General">
                  <c:v>0.83635351250000001</c:v>
                </c:pt>
                <c:pt idx="1">
                  <c:v>3.3418299999999998E-2</c:v>
                </c:pt>
                <c:pt idx="2">
                  <c:v>7.5211200000000001E-3</c:v>
                </c:pt>
                <c:pt idx="3">
                  <c:v>2.3010700000000001E-3</c:v>
                </c:pt>
                <c:pt idx="4">
                  <c:v>9.5218199999999998E-4</c:v>
                </c:pt>
                <c:pt idx="5">
                  <c:v>2.97044E-4</c:v>
                </c:pt>
                <c:pt idx="6">
                  <c:v>5.05677E-5</c:v>
                </c:pt>
                <c:pt idx="7">
                  <c:v>1.2298499999999999E-5</c:v>
                </c:pt>
                <c:pt idx="8">
                  <c:v>1.9086299999999998E-6</c:v>
                </c:pt>
                <c:pt idx="9">
                  <c:v>1.59555E-7</c:v>
                </c:pt>
                <c:pt idx="10">
                  <c:v>3.9195699999999999E-7</c:v>
                </c:pt>
                <c:pt idx="11">
                  <c:v>6.6429900000000001E-8</c:v>
                </c:pt>
                <c:pt idx="12">
                  <c:v>5.7682900000000002E-8</c:v>
                </c:pt>
                <c:pt idx="13">
                  <c:v>1.5597000000000001E-8</c:v>
                </c:pt>
                <c:pt idx="14">
                  <c:v>1.5597000000000001E-8</c:v>
                </c:pt>
                <c:pt idx="15">
                  <c:v>1.5597000000000001E-8</c:v>
                </c:pt>
                <c:pt idx="16">
                  <c:v>1.3346300000000001E-8</c:v>
                </c:pt>
                <c:pt idx="17">
                  <c:v>1.2878599999999999E-9</c:v>
                </c:pt>
                <c:pt idx="18">
                  <c:v>1.5311199999999999E-10</c:v>
                </c:pt>
                <c:pt idx="19">
                  <c:v>6.6002100000000002E-11</c:v>
                </c:pt>
                <c:pt idx="20">
                  <c:v>1.58765E-11</c:v>
                </c:pt>
                <c:pt idx="21">
                  <c:v>6.0322200000000003E-12</c:v>
                </c:pt>
                <c:pt idx="22">
                  <c:v>1.39348E-12</c:v>
                </c:pt>
                <c:pt idx="23">
                  <c:v>6.3167100000000005E-13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FD-42AA-BB92-A1AE10F8B7DB}"/>
            </c:ext>
          </c:extLst>
        </c:ser>
        <c:ser>
          <c:idx val="1"/>
          <c:order val="2"/>
          <c:tx>
            <c:strRef>
              <c:f>Fig.12!$F$89</c:f>
              <c:strCache>
                <c:ptCount val="1"/>
                <c:pt idx="0">
                  <c:v>VC-Eq-PBCD with 2iGP+moreiGreedy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Fig.12!$I$29:$I$58</c:f>
              <c:numCache>
                <c:formatCode>General</c:formatCode>
                <c:ptCount val="30"/>
                <c:pt idx="0">
                  <c:v>4.2999982829999998E-2</c:v>
                </c:pt>
                <c:pt idx="1">
                  <c:v>8.8999986650000001E-2</c:v>
                </c:pt>
                <c:pt idx="2">
                  <c:v>0.125</c:v>
                </c:pt>
                <c:pt idx="3">
                  <c:v>0.15999984740000001</c:v>
                </c:pt>
                <c:pt idx="4">
                  <c:v>0.1949999332</c:v>
                </c:pt>
                <c:pt idx="5">
                  <c:v>0.22699999809999999</c:v>
                </c:pt>
                <c:pt idx="6">
                  <c:v>0.25900006289999999</c:v>
                </c:pt>
                <c:pt idx="7">
                  <c:v>0.29399991040000001</c:v>
                </c:pt>
                <c:pt idx="8">
                  <c:v>0.33099985119999997</c:v>
                </c:pt>
                <c:pt idx="9">
                  <c:v>0.36899995800000002</c:v>
                </c:pt>
                <c:pt idx="10">
                  <c:v>0.43099999430000002</c:v>
                </c:pt>
                <c:pt idx="11">
                  <c:v>0.58299994470000005</c:v>
                </c:pt>
                <c:pt idx="12">
                  <c:v>0.62299990650000003</c:v>
                </c:pt>
                <c:pt idx="13">
                  <c:v>0.96300005909999997</c:v>
                </c:pt>
                <c:pt idx="14">
                  <c:v>1.009000063</c:v>
                </c:pt>
                <c:pt idx="15">
                  <c:v>1.090999842</c:v>
                </c:pt>
                <c:pt idx="16">
                  <c:v>1.1219999789999999</c:v>
                </c:pt>
                <c:pt idx="17">
                  <c:v>1.1529998779999999</c:v>
                </c:pt>
                <c:pt idx="18">
                  <c:v>1.1870000359999999</c:v>
                </c:pt>
                <c:pt idx="19">
                  <c:v>1.2330000400000001</c:v>
                </c:pt>
                <c:pt idx="20">
                  <c:v>1.2730000020000001</c:v>
                </c:pt>
                <c:pt idx="21">
                  <c:v>1.3039999010000001</c:v>
                </c:pt>
                <c:pt idx="22">
                  <c:v>1.3580000400000001</c:v>
                </c:pt>
                <c:pt idx="23">
                  <c:v>2.1949999330000001</c:v>
                </c:pt>
                <c:pt idx="24">
                  <c:v>2.3829998969999999</c:v>
                </c:pt>
                <c:pt idx="25">
                  <c:v>2.4749999049999998</c:v>
                </c:pt>
                <c:pt idx="26">
                  <c:v>2.5119998460000001</c:v>
                </c:pt>
                <c:pt idx="27">
                  <c:v>2.8159999849999999</c:v>
                </c:pt>
                <c:pt idx="28">
                  <c:v>2.856999874</c:v>
                </c:pt>
                <c:pt idx="29">
                  <c:v>2.8999998570000001</c:v>
                </c:pt>
              </c:numCache>
            </c:numRef>
          </c:xVal>
          <c:yVal>
            <c:numRef>
              <c:f>Fig.12!$H$29:$H$58</c:f>
              <c:numCache>
                <c:formatCode>General</c:formatCode>
                <c:ptCount val="30"/>
                <c:pt idx="0">
                  <c:v>0.83635351250000001</c:v>
                </c:pt>
                <c:pt idx="1">
                  <c:v>2.9557202500000001E-2</c:v>
                </c:pt>
                <c:pt idx="2">
                  <c:v>6.3065272129999997E-3</c:v>
                </c:pt>
                <c:pt idx="3">
                  <c:v>1.6452444500000001E-3</c:v>
                </c:pt>
                <c:pt idx="4">
                  <c:v>5.4607451450000002E-4</c:v>
                </c:pt>
                <c:pt idx="5">
                  <c:v>1.246355106E-4</c:v>
                </c:pt>
                <c:pt idx="6" formatCode="0.00E+00">
                  <c:v>3.5640015289999997E-5</c:v>
                </c:pt>
                <c:pt idx="7" formatCode="0.00E+00">
                  <c:v>5.363615778E-6</c:v>
                </c:pt>
                <c:pt idx="8" formatCode="0.00E+00">
                  <c:v>9.8073662650000002E-7</c:v>
                </c:pt>
                <c:pt idx="9" formatCode="0.00E+00">
                  <c:v>2.398158622E-7</c:v>
                </c:pt>
                <c:pt idx="10" formatCode="0.00E+00">
                  <c:v>5.628433799E-8</c:v>
                </c:pt>
                <c:pt idx="11" formatCode="0.00E+00">
                  <c:v>4.0428900290000001E-9</c:v>
                </c:pt>
                <c:pt idx="12" formatCode="0.00E+00">
                  <c:v>2.374835742E-9</c:v>
                </c:pt>
                <c:pt idx="13" formatCode="0.00E+00">
                  <c:v>2.374835742E-9</c:v>
                </c:pt>
                <c:pt idx="14" formatCode="0.00E+00">
                  <c:v>2.374835742E-9</c:v>
                </c:pt>
                <c:pt idx="15" formatCode="0.00E+00">
                  <c:v>2.374835742E-9</c:v>
                </c:pt>
                <c:pt idx="16" formatCode="0.00E+00">
                  <c:v>2.374835742E-9</c:v>
                </c:pt>
                <c:pt idx="17" formatCode="0.00E+00">
                  <c:v>2.374835742E-9</c:v>
                </c:pt>
                <c:pt idx="18" formatCode="0.00E+00">
                  <c:v>2.374835742E-9</c:v>
                </c:pt>
                <c:pt idx="19" formatCode="0.00E+00">
                  <c:v>2.374835742E-9</c:v>
                </c:pt>
                <c:pt idx="20" formatCode="0.00E+00">
                  <c:v>8.2724436739999996E-10</c:v>
                </c:pt>
                <c:pt idx="21" formatCode="0.00E+00">
                  <c:v>1.5150217470000001E-10</c:v>
                </c:pt>
                <c:pt idx="22" formatCode="0.00E+00">
                  <c:v>2.6652698929999999E-11</c:v>
                </c:pt>
                <c:pt idx="23" formatCode="0.00E+00">
                  <c:v>2.6652698929999999E-11</c:v>
                </c:pt>
                <c:pt idx="24" formatCode="0.00E+00">
                  <c:v>2.6652698929999999E-11</c:v>
                </c:pt>
                <c:pt idx="25" formatCode="0.00E+00">
                  <c:v>2.6652698929999999E-11</c:v>
                </c:pt>
                <c:pt idx="26" formatCode="0.00E+00">
                  <c:v>2.6652698929999999E-11</c:v>
                </c:pt>
                <c:pt idx="27" formatCode="0.00E+00">
                  <c:v>1.0160709509999999E-11</c:v>
                </c:pt>
                <c:pt idx="28" formatCode="0.00E+00">
                  <c:v>3.3295302820000002E-12</c:v>
                </c:pt>
                <c:pt idx="29" formatCode="0.00E+00">
                  <c:v>6.2644578110000001E-13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FD-42AA-BB92-A1AE10F8B7DB}"/>
            </c:ext>
          </c:extLst>
        </c:ser>
        <c:ser>
          <c:idx val="3"/>
          <c:order val="3"/>
          <c:tx>
            <c:strRef>
              <c:f>Fig.12!$L$89</c:f>
              <c:strCache>
                <c:ptCount val="1"/>
                <c:pt idx="0">
                  <c:v>VC-Eq-PBCD with 2-3iGP+mzoreiGreedy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Fig.12!$N$29:$N$48</c:f>
              <c:numCache>
                <c:formatCode>General</c:formatCode>
                <c:ptCount val="20"/>
                <c:pt idx="0">
                  <c:v>3.8000106810000003E-2</c:v>
                </c:pt>
                <c:pt idx="1">
                  <c:v>8.300018311E-2</c:v>
                </c:pt>
                <c:pt idx="2">
                  <c:v>0.1160001755</c:v>
                </c:pt>
                <c:pt idx="3">
                  <c:v>0.15000009540000001</c:v>
                </c:pt>
                <c:pt idx="4">
                  <c:v>0.17900013919999999</c:v>
                </c:pt>
                <c:pt idx="5">
                  <c:v>0.21600008009999999</c:v>
                </c:pt>
                <c:pt idx="6">
                  <c:v>0.25400018689999998</c:v>
                </c:pt>
                <c:pt idx="7">
                  <c:v>0.28800010679999999</c:v>
                </c:pt>
                <c:pt idx="8">
                  <c:v>0.32599997520000001</c:v>
                </c:pt>
                <c:pt idx="9">
                  <c:v>0.36199998859999999</c:v>
                </c:pt>
                <c:pt idx="10">
                  <c:v>0.40000009539999998</c:v>
                </c:pt>
                <c:pt idx="11">
                  <c:v>0.43400001529999999</c:v>
                </c:pt>
                <c:pt idx="12">
                  <c:v>0.47000002860000001</c:v>
                </c:pt>
                <c:pt idx="13">
                  <c:v>0.51600003240000003</c:v>
                </c:pt>
                <c:pt idx="14">
                  <c:v>0.55900001529999999</c:v>
                </c:pt>
                <c:pt idx="15">
                  <c:v>0.60600018499999997</c:v>
                </c:pt>
                <c:pt idx="16">
                  <c:v>0.65100002290000003</c:v>
                </c:pt>
              </c:numCache>
            </c:numRef>
          </c:xVal>
          <c:yVal>
            <c:numRef>
              <c:f>Fig.12!$M$29:$M$48</c:f>
              <c:numCache>
                <c:formatCode>General</c:formatCode>
                <c:ptCount val="20"/>
                <c:pt idx="0">
                  <c:v>0.83635351250000001</c:v>
                </c:pt>
                <c:pt idx="1">
                  <c:v>2.9557202500000001E-2</c:v>
                </c:pt>
                <c:pt idx="2">
                  <c:v>6.1907508040000003E-3</c:v>
                </c:pt>
                <c:pt idx="3">
                  <c:v>1.628431082E-3</c:v>
                </c:pt>
                <c:pt idx="4">
                  <c:v>5.3684999780000001E-4</c:v>
                </c:pt>
                <c:pt idx="5">
                  <c:v>1.2431101370000001E-4</c:v>
                </c:pt>
                <c:pt idx="6" formatCode="0.00E+00">
                  <c:v>3.1800673849999997E-5</c:v>
                </c:pt>
                <c:pt idx="7" formatCode="0.00E+00">
                  <c:v>3.3888457409999999E-6</c:v>
                </c:pt>
                <c:pt idx="8" formatCode="0.00E+00">
                  <c:v>6.278430336E-7</c:v>
                </c:pt>
                <c:pt idx="9" formatCode="0.00E+00">
                  <c:v>1.1729659960000001E-7</c:v>
                </c:pt>
                <c:pt idx="10" formatCode="0.00E+00">
                  <c:v>2.9384545489999999E-8</c:v>
                </c:pt>
                <c:pt idx="11" formatCode="0.00E+00">
                  <c:v>5.5751571039999997E-9</c:v>
                </c:pt>
                <c:pt idx="12" formatCode="0.00E+00">
                  <c:v>7.9975324599999998E-10</c:v>
                </c:pt>
                <c:pt idx="13" formatCode="0.00E+00">
                  <c:v>1.11217994E-10</c:v>
                </c:pt>
                <c:pt idx="14" formatCode="0.00E+00">
                  <c:v>2.0675901199999999E-11</c:v>
                </c:pt>
                <c:pt idx="15" formatCode="0.00E+00">
                  <c:v>3.1608510840000001E-12</c:v>
                </c:pt>
                <c:pt idx="16" formatCode="0.00E+00">
                  <c:v>6.3057203769999997E-13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FD-42AA-BB92-A1AE10F8B7DB}"/>
            </c:ext>
          </c:extLst>
        </c:ser>
        <c:ser>
          <c:idx val="2"/>
          <c:order val="4"/>
          <c:tx>
            <c:strRef>
              <c:f>Fig.12!$Q$89</c:f>
              <c:strCache>
                <c:ptCount val="1"/>
                <c:pt idx="0">
                  <c:v>VC-Eq-PBCD with 2-3-4iGP+moreiGreedy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Fig.12!$T$29:$T$54</c:f>
              <c:numCache>
                <c:formatCode>General</c:formatCode>
                <c:ptCount val="26"/>
                <c:pt idx="0">
                  <c:v>3.3999919890000001E-2</c:v>
                </c:pt>
                <c:pt idx="1">
                  <c:v>9.2000007630000005E-2</c:v>
                </c:pt>
                <c:pt idx="2">
                  <c:v>0.12699985499999999</c:v>
                </c:pt>
                <c:pt idx="3">
                  <c:v>0.15999984740000001</c:v>
                </c:pt>
                <c:pt idx="4">
                  <c:v>0.1879999638</c:v>
                </c:pt>
                <c:pt idx="5">
                  <c:v>0.22799992559999999</c:v>
                </c:pt>
                <c:pt idx="6">
                  <c:v>0.26999998089999999</c:v>
                </c:pt>
                <c:pt idx="7">
                  <c:v>0.3029999733</c:v>
                </c:pt>
                <c:pt idx="8">
                  <c:v>0.33899998660000003</c:v>
                </c:pt>
                <c:pt idx="9">
                  <c:v>0.3759999275</c:v>
                </c:pt>
                <c:pt idx="10">
                  <c:v>0.40999984740000001</c:v>
                </c:pt>
                <c:pt idx="11">
                  <c:v>0.44899988169999999</c:v>
                </c:pt>
                <c:pt idx="12">
                  <c:v>0.48899984359999998</c:v>
                </c:pt>
                <c:pt idx="13">
                  <c:v>0.52999997139999999</c:v>
                </c:pt>
                <c:pt idx="14">
                  <c:v>0.56999993319999998</c:v>
                </c:pt>
                <c:pt idx="15">
                  <c:v>0.61599993710000001</c:v>
                </c:pt>
                <c:pt idx="16">
                  <c:v>0.65699982639999999</c:v>
                </c:pt>
                <c:pt idx="17">
                  <c:v>0.70199990270000001</c:v>
                </c:pt>
                <c:pt idx="18">
                  <c:v>0.7429997921</c:v>
                </c:pt>
                <c:pt idx="19">
                  <c:v>0.79099988939999999</c:v>
                </c:pt>
                <c:pt idx="20">
                  <c:v>0.83399987220000005</c:v>
                </c:pt>
              </c:numCache>
            </c:numRef>
          </c:xVal>
          <c:yVal>
            <c:numRef>
              <c:f>Fig.12!$S$29:$S$54</c:f>
              <c:numCache>
                <c:formatCode>General</c:formatCode>
                <c:ptCount val="26"/>
                <c:pt idx="0">
                  <c:v>0.83635351250000001</c:v>
                </c:pt>
                <c:pt idx="1">
                  <c:v>2.9557202500000001E-2</c:v>
                </c:pt>
                <c:pt idx="2">
                  <c:v>6.1907508040000003E-3</c:v>
                </c:pt>
                <c:pt idx="3">
                  <c:v>1.6011777500000001E-3</c:v>
                </c:pt>
                <c:pt idx="4">
                  <c:v>4.8016649540000002E-4</c:v>
                </c:pt>
                <c:pt idx="5">
                  <c:v>1.072577E-4</c:v>
                </c:pt>
                <c:pt idx="6" formatCode="0.00E+00">
                  <c:v>3.2587433259999998E-5</c:v>
                </c:pt>
                <c:pt idx="7" formatCode="0.00E+00">
                  <c:v>4.4944374070000004E-6</c:v>
                </c:pt>
                <c:pt idx="8" formatCode="0.00E+00">
                  <c:v>8.4625544330000001E-7</c:v>
                </c:pt>
                <c:pt idx="9" formatCode="0.00E+00">
                  <c:v>3.4884080029999999E-7</c:v>
                </c:pt>
                <c:pt idx="10" formatCode="0.00E+00">
                  <c:v>5.8389989080000001E-8</c:v>
                </c:pt>
                <c:pt idx="11" formatCode="0.00E+00">
                  <c:v>1.1050723159999999E-8</c:v>
                </c:pt>
                <c:pt idx="12" formatCode="0.00E+00">
                  <c:v>2.413315498E-9</c:v>
                </c:pt>
                <c:pt idx="13" formatCode="0.00E+00">
                  <c:v>1.0737045179999999E-9</c:v>
                </c:pt>
                <c:pt idx="14" formatCode="0.00E+00">
                  <c:v>2.3724842420000002E-10</c:v>
                </c:pt>
                <c:pt idx="15" formatCode="0.00E+00">
                  <c:v>1.145788094E-10</c:v>
                </c:pt>
                <c:pt idx="16" formatCode="0.00E+00">
                  <c:v>2.4864478209999999E-11</c:v>
                </c:pt>
                <c:pt idx="17" formatCode="0.00E+00">
                  <c:v>1.1607514700000001E-11</c:v>
                </c:pt>
                <c:pt idx="18" formatCode="0.00E+00">
                  <c:v>2.475561477E-12</c:v>
                </c:pt>
                <c:pt idx="19" formatCode="0.00E+00">
                  <c:v>1.004936856E-12</c:v>
                </c:pt>
                <c:pt idx="20" formatCode="0.00E+00">
                  <c:v>1.944154473E-13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FD-42AA-BB92-A1AE10F8B7DB}"/>
            </c:ext>
          </c:extLst>
        </c:ser>
        <c:ser>
          <c:idx val="6"/>
          <c:order val="5"/>
          <c:tx>
            <c:strRef>
              <c:f>Fig.12!$V$89</c:f>
              <c:strCache>
                <c:ptCount val="1"/>
                <c:pt idx="0">
                  <c:v>VC-Eq-PBCD with 2-3-4-5iGP+moreiGreedy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Fig.12!$Y$29:$Y$52</c:f>
              <c:numCache>
                <c:formatCode>General</c:formatCode>
                <c:ptCount val="24"/>
                <c:pt idx="0">
                  <c:v>3.400015831E-2</c:v>
                </c:pt>
                <c:pt idx="1">
                  <c:v>8.5999965669999998E-2</c:v>
                </c:pt>
                <c:pt idx="2">
                  <c:v>0.120000124</c:v>
                </c:pt>
                <c:pt idx="3">
                  <c:v>0.15200018879999999</c:v>
                </c:pt>
                <c:pt idx="4">
                  <c:v>0.18400001530000001</c:v>
                </c:pt>
                <c:pt idx="5">
                  <c:v>0.21900010110000001</c:v>
                </c:pt>
                <c:pt idx="6">
                  <c:v>0.2599999905</c:v>
                </c:pt>
                <c:pt idx="7">
                  <c:v>0.29400014880000003</c:v>
                </c:pt>
                <c:pt idx="8">
                  <c:v>0.32800006869999998</c:v>
                </c:pt>
                <c:pt idx="9">
                  <c:v>0.3650000095</c:v>
                </c:pt>
                <c:pt idx="10">
                  <c:v>0.4350001812</c:v>
                </c:pt>
                <c:pt idx="11">
                  <c:v>0.47500014309999999</c:v>
                </c:pt>
                <c:pt idx="12">
                  <c:v>0.51600003240000003</c:v>
                </c:pt>
                <c:pt idx="13">
                  <c:v>0.55299997329999995</c:v>
                </c:pt>
                <c:pt idx="14">
                  <c:v>0.58899998659999997</c:v>
                </c:pt>
                <c:pt idx="15">
                  <c:v>0.63400006289999999</c:v>
                </c:pt>
                <c:pt idx="16">
                  <c:v>0.68000006680000002</c:v>
                </c:pt>
                <c:pt idx="17">
                  <c:v>0.72500014310000005</c:v>
                </c:pt>
                <c:pt idx="18">
                  <c:v>0.77900004389999999</c:v>
                </c:pt>
                <c:pt idx="19">
                  <c:v>0.83100008960000005</c:v>
                </c:pt>
              </c:numCache>
            </c:numRef>
          </c:xVal>
          <c:yVal>
            <c:numRef>
              <c:f>Fig.12!$X$29:$X$52</c:f>
              <c:numCache>
                <c:formatCode>General</c:formatCode>
                <c:ptCount val="24"/>
                <c:pt idx="0">
                  <c:v>0.83635351250000001</c:v>
                </c:pt>
                <c:pt idx="1">
                  <c:v>2.9557202500000001E-2</c:v>
                </c:pt>
                <c:pt idx="2">
                  <c:v>6.1907508040000003E-3</c:v>
                </c:pt>
                <c:pt idx="3">
                  <c:v>1.6011777500000001E-3</c:v>
                </c:pt>
                <c:pt idx="4">
                  <c:v>4.8281676490000001E-4</c:v>
                </c:pt>
                <c:pt idx="5">
                  <c:v>1.119058733E-4</c:v>
                </c:pt>
                <c:pt idx="6" formatCode="0.00E+00">
                  <c:v>3.9152516750000002E-5</c:v>
                </c:pt>
                <c:pt idx="7" formatCode="0.00E+00">
                  <c:v>6.3817502859999999E-6</c:v>
                </c:pt>
                <c:pt idx="8" formatCode="0.00E+00">
                  <c:v>1.0243158259999999E-6</c:v>
                </c:pt>
                <c:pt idx="9" formatCode="0.00E+00">
                  <c:v>2.21466895E-7</c:v>
                </c:pt>
                <c:pt idx="10" formatCode="0.00E+00">
                  <c:v>6.2416616479999998E-8</c:v>
                </c:pt>
                <c:pt idx="11" formatCode="0.00E+00">
                  <c:v>1.17966103E-8</c:v>
                </c:pt>
                <c:pt idx="12" formatCode="0.00E+00">
                  <c:v>3.5365897129999999E-9</c:v>
                </c:pt>
                <c:pt idx="13" formatCode="0.00E+00">
                  <c:v>1.091278056E-9</c:v>
                </c:pt>
                <c:pt idx="14" formatCode="0.00E+00">
                  <c:v>2.5627456590000001E-10</c:v>
                </c:pt>
                <c:pt idx="15" formatCode="0.00E+00">
                  <c:v>1.039173805E-10</c:v>
                </c:pt>
                <c:pt idx="16" formatCode="0.00E+00">
                  <c:v>2.9849768489999998E-11</c:v>
                </c:pt>
                <c:pt idx="17" formatCode="0.00E+00">
                  <c:v>1.2713649850000001E-11</c:v>
                </c:pt>
                <c:pt idx="18" formatCode="0.00E+00">
                  <c:v>2.1667523460000001E-12</c:v>
                </c:pt>
                <c:pt idx="19" formatCode="0.00E+00">
                  <c:v>8.174575925E-13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FD-42AA-BB92-A1AE10F8B7DB}"/>
            </c:ext>
          </c:extLst>
        </c:ser>
        <c:ser>
          <c:idx val="7"/>
          <c:order val="6"/>
          <c:tx>
            <c:strRef>
              <c:f>Fig.12!$AA$89</c:f>
              <c:strCache>
                <c:ptCount val="1"/>
                <c:pt idx="0">
                  <c:v>VC-Eq-PBCD with 2-3-4-5-6iGP+moreiGreedy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Fig.12!$AD$29:$AD$59</c:f>
              <c:numCache>
                <c:formatCode>General</c:formatCode>
                <c:ptCount val="31"/>
                <c:pt idx="0">
                  <c:v>4.90000248E-2</c:v>
                </c:pt>
                <c:pt idx="1">
                  <c:v>0.1029999256</c:v>
                </c:pt>
                <c:pt idx="2">
                  <c:v>0.135999918</c:v>
                </c:pt>
                <c:pt idx="3">
                  <c:v>0.16899991040000001</c:v>
                </c:pt>
                <c:pt idx="4">
                  <c:v>0.20299983020000001</c:v>
                </c:pt>
                <c:pt idx="5">
                  <c:v>0.23799991609999999</c:v>
                </c:pt>
                <c:pt idx="6">
                  <c:v>0.27899980549999998</c:v>
                </c:pt>
                <c:pt idx="7">
                  <c:v>0.3129999638</c:v>
                </c:pt>
                <c:pt idx="8">
                  <c:v>0.34999990460000002</c:v>
                </c:pt>
                <c:pt idx="9">
                  <c:v>0.38699984549999999</c:v>
                </c:pt>
                <c:pt idx="10">
                  <c:v>0.42499995229999998</c:v>
                </c:pt>
                <c:pt idx="11">
                  <c:v>0.46899986269999999</c:v>
                </c:pt>
                <c:pt idx="12">
                  <c:v>0.50899982450000003</c:v>
                </c:pt>
                <c:pt idx="13">
                  <c:v>0.55399990079999994</c:v>
                </c:pt>
                <c:pt idx="14">
                  <c:v>0.59899997709999997</c:v>
                </c:pt>
                <c:pt idx="15">
                  <c:v>0.64999985689999995</c:v>
                </c:pt>
                <c:pt idx="16">
                  <c:v>0.68999981880000005</c:v>
                </c:pt>
                <c:pt idx="17">
                  <c:v>0.7329998016</c:v>
                </c:pt>
                <c:pt idx="18">
                  <c:v>0.77699995040000003</c:v>
                </c:pt>
              </c:numCache>
            </c:numRef>
          </c:xVal>
          <c:yVal>
            <c:numRef>
              <c:f>Fig.12!$AC$29:$AC$59</c:f>
              <c:numCache>
                <c:formatCode>General</c:formatCode>
                <c:ptCount val="31"/>
                <c:pt idx="0">
                  <c:v>0.83635351250000001</c:v>
                </c:pt>
                <c:pt idx="1">
                  <c:v>2.9557202500000001E-2</c:v>
                </c:pt>
                <c:pt idx="2">
                  <c:v>6.1907508040000003E-3</c:v>
                </c:pt>
                <c:pt idx="3">
                  <c:v>1.6011777500000001E-3</c:v>
                </c:pt>
                <c:pt idx="4">
                  <c:v>4.8281676490000001E-4</c:v>
                </c:pt>
                <c:pt idx="5">
                  <c:v>1.1463170440000001E-4</c:v>
                </c:pt>
                <c:pt idx="6" formatCode="0.00E+00">
                  <c:v>2.8332300720000001E-5</c:v>
                </c:pt>
                <c:pt idx="7" formatCode="0.00E+00">
                  <c:v>5.159293997E-6</c:v>
                </c:pt>
                <c:pt idx="8" formatCode="0.00E+00">
                  <c:v>9.0201482960000003E-7</c:v>
                </c:pt>
                <c:pt idx="9" formatCode="0.00E+00">
                  <c:v>2.073409973E-7</c:v>
                </c:pt>
                <c:pt idx="10" formatCode="0.00E+00">
                  <c:v>2.9414082009999999E-8</c:v>
                </c:pt>
                <c:pt idx="11" formatCode="0.00E+00">
                  <c:v>6.8248565219999996E-9</c:v>
                </c:pt>
                <c:pt idx="12" formatCode="0.00E+00">
                  <c:v>1.6751217170000001E-9</c:v>
                </c:pt>
                <c:pt idx="13" formatCode="0.00E+00">
                  <c:v>4.8562526390000003E-10</c:v>
                </c:pt>
                <c:pt idx="14" formatCode="0.00E+00">
                  <c:v>1.2161818809999999E-10</c:v>
                </c:pt>
                <c:pt idx="15" formatCode="0.00E+00">
                  <c:v>4.5191251459999998E-11</c:v>
                </c:pt>
                <c:pt idx="16" formatCode="0.00E+00">
                  <c:v>1.6008175089999998E-11</c:v>
                </c:pt>
                <c:pt idx="17" formatCode="0.00E+00">
                  <c:v>4.7696959769999998E-12</c:v>
                </c:pt>
                <c:pt idx="18" formatCode="0.00E+00">
                  <c:v>9.6487021930000002E-13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FD-42AA-BB92-A1AE10F8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2.6470571579205151E-2"/>
              <c:y val="0.38345615526964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6008122500220661"/>
          <c:y val="8.5357579551173221E-2"/>
          <c:w val="0.49061622353602391"/>
          <c:h val="0.3330123794636301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2025-Birm</a:t>
            </a:r>
            <a:endParaRPr lang="en-US"/>
          </a:p>
        </c:rich>
      </c:tx>
      <c:layout>
        <c:manualLayout>
          <c:xMode val="edge"/>
          <c:yMode val="edge"/>
          <c:x val="0.47673521346580588"/>
          <c:y val="4.26619308808517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25240338234209"/>
          <c:y val="7.4870982670161706E-2"/>
          <c:w val="0.81164842199603093"/>
          <c:h val="0.78208821434012443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Fig.12!$A$89</c:f>
              <c:strCache>
                <c:ptCount val="1"/>
                <c:pt idx="0">
                  <c:v>VC-Eq-PBCD with iGP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Fig.12!$D$70:$D$83</c:f>
              <c:numCache>
                <c:formatCode>General</c:formatCode>
                <c:ptCount val="14"/>
                <c:pt idx="0">
                  <c:v>0.49099993710000001</c:v>
                </c:pt>
                <c:pt idx="1">
                  <c:v>1.2829999919999999</c:v>
                </c:pt>
                <c:pt idx="2">
                  <c:v>1.849999905</c:v>
                </c:pt>
                <c:pt idx="3">
                  <c:v>2.5090000629999998</c:v>
                </c:pt>
                <c:pt idx="4">
                  <c:v>3.2990000249999998</c:v>
                </c:pt>
                <c:pt idx="5">
                  <c:v>4.1180000310000002</c:v>
                </c:pt>
                <c:pt idx="6">
                  <c:v>5.2899999619999996</c:v>
                </c:pt>
                <c:pt idx="7">
                  <c:v>7.016000032</c:v>
                </c:pt>
                <c:pt idx="8">
                  <c:v>8.4969999789999999</c:v>
                </c:pt>
                <c:pt idx="9">
                  <c:v>10.98200011</c:v>
                </c:pt>
                <c:pt idx="10">
                  <c:v>11.53299999</c:v>
                </c:pt>
                <c:pt idx="11">
                  <c:v>12.181999920000001</c:v>
                </c:pt>
                <c:pt idx="12">
                  <c:v>12.832999940000001</c:v>
                </c:pt>
                <c:pt idx="13">
                  <c:v>13.95000005</c:v>
                </c:pt>
              </c:numCache>
            </c:numRef>
          </c:xVal>
          <c:yVal>
            <c:numRef>
              <c:f>Fig.12!$C$70:$C$83</c:f>
              <c:numCache>
                <c:formatCode>General</c:formatCode>
                <c:ptCount val="14"/>
                <c:pt idx="0">
                  <c:v>4.7670839850000001E-2</c:v>
                </c:pt>
                <c:pt idx="1">
                  <c:v>2.9144665959999999E-3</c:v>
                </c:pt>
                <c:pt idx="2">
                  <c:v>3.2281570809999997E-4</c:v>
                </c:pt>
                <c:pt idx="3" formatCode="0.00E+00">
                  <c:v>5.4280245799999998E-5</c:v>
                </c:pt>
                <c:pt idx="4" formatCode="0.00E+00">
                  <c:v>3.4695642909999999E-6</c:v>
                </c:pt>
                <c:pt idx="5" formatCode="0.00E+00">
                  <c:v>1.6052841830000001E-7</c:v>
                </c:pt>
                <c:pt idx="6" formatCode="0.00E+00">
                  <c:v>2.9234322349999998E-9</c:v>
                </c:pt>
                <c:pt idx="7" formatCode="0.00E+00">
                  <c:v>1.162517612E-9</c:v>
                </c:pt>
                <c:pt idx="8" formatCode="0.00E+00">
                  <c:v>8.7040952249999996E-11</c:v>
                </c:pt>
                <c:pt idx="9" formatCode="0.00E+00">
                  <c:v>2.4800307259999999E-11</c:v>
                </c:pt>
                <c:pt idx="10" formatCode="0.00E+00">
                  <c:v>2.4800307259999999E-11</c:v>
                </c:pt>
                <c:pt idx="11" formatCode="0.00E+00">
                  <c:v>2.4800307259999999E-11</c:v>
                </c:pt>
                <c:pt idx="12" formatCode="0.00E+00">
                  <c:v>2.4800307259999999E-11</c:v>
                </c:pt>
                <c:pt idx="13" formatCode="0.00E+00">
                  <c:v>3.5393720290000001E-13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E-4DB9-BF0E-D0ED1050D1D1}"/>
            </c:ext>
          </c:extLst>
        </c:ser>
        <c:ser>
          <c:idx val="4"/>
          <c:order val="1"/>
          <c:tx>
            <c:strRef>
              <c:f>Fig.12!$AF$89:$AI$89</c:f>
              <c:strCache>
                <c:ptCount val="1"/>
                <c:pt idx="0">
                  <c:v>VC-Eq-PBCD with iGreedy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Fig.12!$AI$70:$AI$78</c:f>
              <c:numCache>
                <c:formatCode>General</c:formatCode>
                <c:ptCount val="9"/>
                <c:pt idx="0">
                  <c:v>0.50199985499999999</c:v>
                </c:pt>
                <c:pt idx="1">
                  <c:v>1.304</c:v>
                </c:pt>
                <c:pt idx="2">
                  <c:v>1.889</c:v>
                </c:pt>
                <c:pt idx="3">
                  <c:v>2.4550000000000001</c:v>
                </c:pt>
                <c:pt idx="4">
                  <c:v>3.1070000000000002</c:v>
                </c:pt>
                <c:pt idx="5">
                  <c:v>4.0140000000000002</c:v>
                </c:pt>
                <c:pt idx="6">
                  <c:v>5.3280000000000003</c:v>
                </c:pt>
                <c:pt idx="7">
                  <c:v>6.82</c:v>
                </c:pt>
                <c:pt idx="8">
                  <c:v>8.4499999999999993</c:v>
                </c:pt>
              </c:numCache>
            </c:numRef>
          </c:xVal>
          <c:yVal>
            <c:numRef>
              <c:f>Fig.12!$AH$70:$AH$78</c:f>
              <c:numCache>
                <c:formatCode>0.00E+00</c:formatCode>
                <c:ptCount val="9"/>
                <c:pt idx="0" formatCode="General">
                  <c:v>3.8615186029999998E-2</c:v>
                </c:pt>
                <c:pt idx="1">
                  <c:v>2.5689599999999999E-3</c:v>
                </c:pt>
                <c:pt idx="2">
                  <c:v>3.2745099999999998E-4</c:v>
                </c:pt>
                <c:pt idx="3">
                  <c:v>4.95663E-5</c:v>
                </c:pt>
                <c:pt idx="4">
                  <c:v>3.1996900000000002E-6</c:v>
                </c:pt>
                <c:pt idx="5">
                  <c:v>6.1124899999999994E-8</c:v>
                </c:pt>
                <c:pt idx="6">
                  <c:v>1.1457000000000001E-9</c:v>
                </c:pt>
                <c:pt idx="7">
                  <c:v>1.8901899999999999E-11</c:v>
                </c:pt>
                <c:pt idx="8">
                  <c:v>3.6272100000000002E-13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E-4DB9-BF0E-D0ED1050D1D1}"/>
            </c:ext>
          </c:extLst>
        </c:ser>
        <c:ser>
          <c:idx val="1"/>
          <c:order val="2"/>
          <c:tx>
            <c:strRef>
              <c:f>Fig.12!$F$89</c:f>
              <c:strCache>
                <c:ptCount val="1"/>
                <c:pt idx="0">
                  <c:v>VC-Eq-PBCD with 2iGP+moreiGreedy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Fig.12!$I$70:$I$79</c:f>
              <c:numCache>
                <c:formatCode>General</c:formatCode>
                <c:ptCount val="10"/>
                <c:pt idx="0">
                  <c:v>0.46799993519999999</c:v>
                </c:pt>
                <c:pt idx="1">
                  <c:v>1.2369999890000001</c:v>
                </c:pt>
                <c:pt idx="2">
                  <c:v>1.7869999409999999</c:v>
                </c:pt>
                <c:pt idx="3">
                  <c:v>2.4119999409999999</c:v>
                </c:pt>
                <c:pt idx="4">
                  <c:v>3.180999994</c:v>
                </c:pt>
                <c:pt idx="5">
                  <c:v>3.9639999869999998</c:v>
                </c:pt>
                <c:pt idx="6">
                  <c:v>5.1019999980000001</c:v>
                </c:pt>
                <c:pt idx="7">
                  <c:v>6.433000088</c:v>
                </c:pt>
                <c:pt idx="8">
                  <c:v>7.7469999789999999</c:v>
                </c:pt>
              </c:numCache>
            </c:numRef>
          </c:xVal>
          <c:yVal>
            <c:numRef>
              <c:f>Fig.12!$H$70:$H$79</c:f>
              <c:numCache>
                <c:formatCode>General</c:formatCode>
                <c:ptCount val="10"/>
                <c:pt idx="0">
                  <c:v>4.7670839850000001E-2</c:v>
                </c:pt>
                <c:pt idx="1">
                  <c:v>2.605798089E-3</c:v>
                </c:pt>
                <c:pt idx="2">
                  <c:v>2.706281496E-4</c:v>
                </c:pt>
                <c:pt idx="3" formatCode="0.00E+00">
                  <c:v>3.6521618259999997E-5</c:v>
                </c:pt>
                <c:pt idx="4" formatCode="0.00E+00">
                  <c:v>3.128143869E-6</c:v>
                </c:pt>
                <c:pt idx="5" formatCode="0.00E+00">
                  <c:v>1.179237782E-7</c:v>
                </c:pt>
                <c:pt idx="6" formatCode="0.00E+00">
                  <c:v>2.5721814369999999E-9</c:v>
                </c:pt>
                <c:pt idx="7" formatCode="0.00E+00">
                  <c:v>5.0344899360000003E-11</c:v>
                </c:pt>
                <c:pt idx="8" formatCode="0.00E+00">
                  <c:v>8.5339591300000003E-13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DE-4DB9-BF0E-D0ED1050D1D1}"/>
            </c:ext>
          </c:extLst>
        </c:ser>
        <c:ser>
          <c:idx val="3"/>
          <c:order val="3"/>
          <c:tx>
            <c:strRef>
              <c:f>Fig.12!$L$89</c:f>
              <c:strCache>
                <c:ptCount val="1"/>
                <c:pt idx="0">
                  <c:v>VC-Eq-PBCD with 2-3iGP+mzoreiGreedy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Fig.12!$N$70:$N$81</c:f>
              <c:numCache>
                <c:formatCode>General</c:formatCode>
                <c:ptCount val="12"/>
                <c:pt idx="0">
                  <c:v>0.5</c:v>
                </c:pt>
                <c:pt idx="1">
                  <c:v>1.356999874</c:v>
                </c:pt>
                <c:pt idx="2">
                  <c:v>1.9159998890000001</c:v>
                </c:pt>
                <c:pt idx="3">
                  <c:v>2.5569999220000001</c:v>
                </c:pt>
                <c:pt idx="4">
                  <c:v>3.3029999729999999</c:v>
                </c:pt>
                <c:pt idx="5">
                  <c:v>4.1889998909999999</c:v>
                </c:pt>
                <c:pt idx="6">
                  <c:v>5.4089999200000003</c:v>
                </c:pt>
                <c:pt idx="7">
                  <c:v>7.0439999100000001</c:v>
                </c:pt>
                <c:pt idx="8">
                  <c:v>8.4879999159999997</c:v>
                </c:pt>
                <c:pt idx="9">
                  <c:v>9.4389998909999999</c:v>
                </c:pt>
                <c:pt idx="10">
                  <c:v>10.32500005</c:v>
                </c:pt>
                <c:pt idx="11">
                  <c:v>11.78500009</c:v>
                </c:pt>
              </c:numCache>
            </c:numRef>
          </c:xVal>
          <c:yVal>
            <c:numRef>
              <c:f>Fig.12!$M$70:$M$81</c:f>
              <c:numCache>
                <c:formatCode>General</c:formatCode>
                <c:ptCount val="12"/>
                <c:pt idx="0">
                  <c:v>4.7670839850000001E-2</c:v>
                </c:pt>
                <c:pt idx="1">
                  <c:v>2.605798089E-3</c:v>
                </c:pt>
                <c:pt idx="2">
                  <c:v>2.9096145199999999E-4</c:v>
                </c:pt>
                <c:pt idx="3" formatCode="0.00E+00">
                  <c:v>3.8109040090000002E-5</c:v>
                </c:pt>
                <c:pt idx="4" formatCode="0.00E+00">
                  <c:v>2.1134166799999999E-6</c:v>
                </c:pt>
                <c:pt idx="5" formatCode="0.00E+00">
                  <c:v>5.9027896590000003E-8</c:v>
                </c:pt>
                <c:pt idx="6" formatCode="0.00E+00">
                  <c:v>1.310183378E-9</c:v>
                </c:pt>
                <c:pt idx="7" formatCode="0.00E+00">
                  <c:v>3.5126435959999998E-10</c:v>
                </c:pt>
                <c:pt idx="8" formatCode="0.00E+00">
                  <c:v>1.9863801220000001E-10</c:v>
                </c:pt>
                <c:pt idx="9" formatCode="0.00E+00">
                  <c:v>1.9863801220000001E-10</c:v>
                </c:pt>
                <c:pt idx="10" formatCode="0.00E+00">
                  <c:v>4.4619982079999997E-12</c:v>
                </c:pt>
                <c:pt idx="11" formatCode="0.00E+00">
                  <c:v>8.7704041080000006E-14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DE-4DB9-BF0E-D0ED1050D1D1}"/>
            </c:ext>
          </c:extLst>
        </c:ser>
        <c:ser>
          <c:idx val="2"/>
          <c:order val="4"/>
          <c:tx>
            <c:strRef>
              <c:f>Fig.12!$Q$89</c:f>
              <c:strCache>
                <c:ptCount val="1"/>
                <c:pt idx="0">
                  <c:v>VC-Eq-PBCD with 2-3-4iGP+moreiGreedy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Fig.12!$T$70:$T$79</c:f>
              <c:numCache>
                <c:formatCode>General</c:formatCode>
                <c:ptCount val="10"/>
                <c:pt idx="0">
                  <c:v>0.47500014309999999</c:v>
                </c:pt>
                <c:pt idx="1">
                  <c:v>1.248000145</c:v>
                </c:pt>
                <c:pt idx="2">
                  <c:v>1.8650000099999999</c:v>
                </c:pt>
                <c:pt idx="3">
                  <c:v>2.4840002060000002</c:v>
                </c:pt>
                <c:pt idx="4">
                  <c:v>3.2110002039999999</c:v>
                </c:pt>
                <c:pt idx="5">
                  <c:v>4.3810000420000001</c:v>
                </c:pt>
                <c:pt idx="6">
                  <c:v>5.8030002119999997</c:v>
                </c:pt>
                <c:pt idx="7">
                  <c:v>7.2039999960000003</c:v>
                </c:pt>
                <c:pt idx="8">
                  <c:v>9.2750000949999993</c:v>
                </c:pt>
              </c:numCache>
            </c:numRef>
          </c:xVal>
          <c:yVal>
            <c:numRef>
              <c:f>Fig.12!$S$70:$S$79</c:f>
              <c:numCache>
                <c:formatCode>General</c:formatCode>
                <c:ptCount val="10"/>
                <c:pt idx="0">
                  <c:v>4.7670839850000001E-2</c:v>
                </c:pt>
                <c:pt idx="1">
                  <c:v>2.605798089E-3</c:v>
                </c:pt>
                <c:pt idx="2">
                  <c:v>2.9096145199999999E-4</c:v>
                </c:pt>
                <c:pt idx="3" formatCode="0.00E+00">
                  <c:v>3.743242576E-5</c:v>
                </c:pt>
                <c:pt idx="4" formatCode="0.00E+00">
                  <c:v>1.8015947000000001E-6</c:v>
                </c:pt>
                <c:pt idx="5" formatCode="0.00E+00">
                  <c:v>5.1644473700000003E-8</c:v>
                </c:pt>
                <c:pt idx="6" formatCode="0.00E+00">
                  <c:v>1.0812947660000001E-9</c:v>
                </c:pt>
                <c:pt idx="7" formatCode="0.00E+00">
                  <c:v>1.7424438140000001E-11</c:v>
                </c:pt>
                <c:pt idx="8" formatCode="0.00E+00">
                  <c:v>3.5612631550000002E-13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DE-4DB9-BF0E-D0ED1050D1D1}"/>
            </c:ext>
          </c:extLst>
        </c:ser>
        <c:ser>
          <c:idx val="6"/>
          <c:order val="5"/>
          <c:tx>
            <c:strRef>
              <c:f>Fig.12!$V$89</c:f>
              <c:strCache>
                <c:ptCount val="1"/>
                <c:pt idx="0">
                  <c:v>VC-Eq-PBCD with 2-3-4-5iGP+moreiGreedy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Fig.12!$Y$70:$Y$81</c:f>
              <c:numCache>
                <c:formatCode>General</c:formatCode>
                <c:ptCount val="12"/>
                <c:pt idx="0">
                  <c:v>0.47100019450000002</c:v>
                </c:pt>
                <c:pt idx="1">
                  <c:v>1.2450001239999999</c:v>
                </c:pt>
                <c:pt idx="2">
                  <c:v>1.813000202</c:v>
                </c:pt>
                <c:pt idx="3">
                  <c:v>2.4500000480000002</c:v>
                </c:pt>
                <c:pt idx="4">
                  <c:v>3.1860001090000001</c:v>
                </c:pt>
                <c:pt idx="5">
                  <c:v>4.3800001139999996</c:v>
                </c:pt>
                <c:pt idx="6">
                  <c:v>5.9210000039999997</c:v>
                </c:pt>
                <c:pt idx="7">
                  <c:v>7.3550000190000002</c:v>
                </c:pt>
                <c:pt idx="8">
                  <c:v>11.22600007</c:v>
                </c:pt>
                <c:pt idx="9">
                  <c:v>11.795000079999999</c:v>
                </c:pt>
                <c:pt idx="10">
                  <c:v>12.41200018</c:v>
                </c:pt>
                <c:pt idx="11">
                  <c:v>13.40100002</c:v>
                </c:pt>
              </c:numCache>
            </c:numRef>
          </c:xVal>
          <c:yVal>
            <c:numRef>
              <c:f>Fig.12!$X$70:$X$81</c:f>
              <c:numCache>
                <c:formatCode>General</c:formatCode>
                <c:ptCount val="12"/>
                <c:pt idx="0">
                  <c:v>4.7670839850000001E-2</c:v>
                </c:pt>
                <c:pt idx="1">
                  <c:v>2.605798089E-3</c:v>
                </c:pt>
                <c:pt idx="2">
                  <c:v>2.9096145199999999E-4</c:v>
                </c:pt>
                <c:pt idx="3" formatCode="0.00E+00">
                  <c:v>3.743242576E-5</c:v>
                </c:pt>
                <c:pt idx="4" formatCode="0.00E+00">
                  <c:v>1.7685727690000001E-6</c:v>
                </c:pt>
                <c:pt idx="5" formatCode="0.00E+00">
                  <c:v>5.3590337829999998E-8</c:v>
                </c:pt>
                <c:pt idx="6" formatCode="0.00E+00">
                  <c:v>1.2604636800000001E-9</c:v>
                </c:pt>
                <c:pt idx="7" formatCode="0.00E+00">
                  <c:v>2.3459717949999999E-11</c:v>
                </c:pt>
                <c:pt idx="8" formatCode="0.00E+00">
                  <c:v>2.3459717949999999E-11</c:v>
                </c:pt>
                <c:pt idx="9" formatCode="0.00E+00">
                  <c:v>1.016573685E-11</c:v>
                </c:pt>
                <c:pt idx="10" formatCode="0.00E+00">
                  <c:v>1.016573685E-11</c:v>
                </c:pt>
                <c:pt idx="11" formatCode="0.00E+00">
                  <c:v>1.798079372E-13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DE-4DB9-BF0E-D0ED1050D1D1}"/>
            </c:ext>
          </c:extLst>
        </c:ser>
        <c:ser>
          <c:idx val="7"/>
          <c:order val="6"/>
          <c:tx>
            <c:strRef>
              <c:f>Fig.12!$AA$89</c:f>
              <c:strCache>
                <c:ptCount val="1"/>
                <c:pt idx="0">
                  <c:v>VC-Eq-PBCD with 2-3-4-5-6iGP+moreiGreedy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Fig.12!$AD$70:$AD$79</c:f>
              <c:numCache>
                <c:formatCode>General</c:formatCode>
                <c:ptCount val="10"/>
                <c:pt idx="0">
                  <c:v>0.44899988169999999</c:v>
                </c:pt>
                <c:pt idx="1">
                  <c:v>1.219000101</c:v>
                </c:pt>
                <c:pt idx="2">
                  <c:v>1.7829999919999999</c:v>
                </c:pt>
                <c:pt idx="3">
                  <c:v>2.4300000669999999</c:v>
                </c:pt>
                <c:pt idx="4">
                  <c:v>3.1549999710000001</c:v>
                </c:pt>
                <c:pt idx="5">
                  <c:v>4.3229999540000001</c:v>
                </c:pt>
                <c:pt idx="6">
                  <c:v>5.8880000109999999</c:v>
                </c:pt>
                <c:pt idx="7">
                  <c:v>7.8050000669999999</c:v>
                </c:pt>
                <c:pt idx="8">
                  <c:v>9.2369999889999992</c:v>
                </c:pt>
                <c:pt idx="9">
                  <c:v>10.65499997</c:v>
                </c:pt>
              </c:numCache>
            </c:numRef>
          </c:xVal>
          <c:yVal>
            <c:numRef>
              <c:f>Fig.12!$AC$70:$AC$79</c:f>
              <c:numCache>
                <c:formatCode>General</c:formatCode>
                <c:ptCount val="10"/>
                <c:pt idx="0">
                  <c:v>4.7670839850000001E-2</c:v>
                </c:pt>
                <c:pt idx="1">
                  <c:v>2.605798089E-3</c:v>
                </c:pt>
                <c:pt idx="2">
                  <c:v>2.9096145199999999E-4</c:v>
                </c:pt>
                <c:pt idx="3" formatCode="0.00E+00">
                  <c:v>3.743242576E-5</c:v>
                </c:pt>
                <c:pt idx="4" formatCode="0.00E+00">
                  <c:v>1.7685727690000001E-6</c:v>
                </c:pt>
                <c:pt idx="5" formatCode="0.00E+00">
                  <c:v>5.5479584160000002E-8</c:v>
                </c:pt>
                <c:pt idx="6" formatCode="0.00E+00">
                  <c:v>1.3903061719999999E-9</c:v>
                </c:pt>
                <c:pt idx="7" formatCode="0.00E+00">
                  <c:v>4.243971338E-10</c:v>
                </c:pt>
                <c:pt idx="8" formatCode="0.00E+00">
                  <c:v>2.3926417489999999E-11</c:v>
                </c:pt>
                <c:pt idx="9" formatCode="0.00E+00">
                  <c:v>4.1798097099999999E-13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DE-4DB9-BF0E-D0ED1050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2.6470571579205151E-2"/>
              <c:y val="0.38345615526964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6008122500220661"/>
          <c:y val="8.5357579551173221E-2"/>
          <c:w val="0.4800135477547543"/>
          <c:h val="0.3540943522699829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Phi</a:t>
            </a:r>
            <a:endParaRPr lang="en-US"/>
          </a:p>
        </c:rich>
      </c:tx>
      <c:layout>
        <c:manualLayout>
          <c:xMode val="edge"/>
          <c:yMode val="edge"/>
          <c:x val="0.47673521346580588"/>
          <c:y val="4.26619308808517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78866134681169"/>
          <c:y val="7.4870982670161706E-2"/>
          <c:w val="0.81164842199603093"/>
          <c:h val="0.78208821434012443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Fig.12!$A$89</c:f>
              <c:strCache>
                <c:ptCount val="1"/>
                <c:pt idx="0">
                  <c:v>VC-Eq-PBCD with iGP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Fig.12!$D$91:$D$123</c:f>
              <c:numCache>
                <c:formatCode>General</c:formatCode>
                <c:ptCount val="33"/>
                <c:pt idx="0">
                  <c:v>1.5139999390000001</c:v>
                </c:pt>
                <c:pt idx="1">
                  <c:v>3.6709999999999998</c:v>
                </c:pt>
                <c:pt idx="2">
                  <c:v>5.2290000000000001</c:v>
                </c:pt>
                <c:pt idx="3">
                  <c:v>6.923</c:v>
                </c:pt>
                <c:pt idx="4">
                  <c:v>8.6549999999999994</c:v>
                </c:pt>
                <c:pt idx="5">
                  <c:v>10.321999999999999</c:v>
                </c:pt>
                <c:pt idx="6">
                  <c:v>11.994999999999999</c:v>
                </c:pt>
                <c:pt idx="7">
                  <c:v>13.571999999999999</c:v>
                </c:pt>
                <c:pt idx="8">
                  <c:v>15.94</c:v>
                </c:pt>
                <c:pt idx="9">
                  <c:v>18.452000000000002</c:v>
                </c:pt>
                <c:pt idx="10">
                  <c:v>22.116</c:v>
                </c:pt>
                <c:pt idx="11">
                  <c:v>27.745999999999999</c:v>
                </c:pt>
                <c:pt idx="12">
                  <c:v>34.098999999999997</c:v>
                </c:pt>
                <c:pt idx="13">
                  <c:v>41.658000000000001</c:v>
                </c:pt>
                <c:pt idx="14">
                  <c:v>49.043999999999997</c:v>
                </c:pt>
                <c:pt idx="15">
                  <c:v>56.472000000000001</c:v>
                </c:pt>
                <c:pt idx="16">
                  <c:v>65.355000000000004</c:v>
                </c:pt>
                <c:pt idx="17">
                  <c:v>74.016999999999996</c:v>
                </c:pt>
                <c:pt idx="18">
                  <c:v>107.60899999999999</c:v>
                </c:pt>
                <c:pt idx="19">
                  <c:v>111.8</c:v>
                </c:pt>
                <c:pt idx="20">
                  <c:v>115.40900000000001</c:v>
                </c:pt>
                <c:pt idx="21">
                  <c:v>133.316</c:v>
                </c:pt>
                <c:pt idx="22">
                  <c:v>138.851</c:v>
                </c:pt>
                <c:pt idx="23">
                  <c:v>144.42099999999999</c:v>
                </c:pt>
                <c:pt idx="24">
                  <c:v>151.01300000000001</c:v>
                </c:pt>
                <c:pt idx="25">
                  <c:v>158.596</c:v>
                </c:pt>
                <c:pt idx="26">
                  <c:v>194.34899999999999</c:v>
                </c:pt>
                <c:pt idx="27">
                  <c:v>217.762</c:v>
                </c:pt>
                <c:pt idx="28">
                  <c:v>233.99199999999999</c:v>
                </c:pt>
                <c:pt idx="29">
                  <c:v>262.85000000000002</c:v>
                </c:pt>
                <c:pt idx="30">
                  <c:v>269.14100000000002</c:v>
                </c:pt>
                <c:pt idx="31">
                  <c:v>273.589</c:v>
                </c:pt>
                <c:pt idx="32">
                  <c:v>281.63900000000001</c:v>
                </c:pt>
              </c:numCache>
              <c:extLst xmlns:c15="http://schemas.microsoft.com/office/drawing/2012/chart"/>
            </c:numRef>
          </c:xVal>
          <c:yVal>
            <c:numRef>
              <c:f>Fig.12!$C$91:$C$123</c:f>
              <c:numCache>
                <c:formatCode>0.00E+00</c:formatCode>
                <c:ptCount val="33"/>
                <c:pt idx="0" formatCode="General">
                  <c:v>0.76040188710000001</c:v>
                </c:pt>
                <c:pt idx="1">
                  <c:v>0.2402</c:v>
                </c:pt>
                <c:pt idx="2">
                  <c:v>4.7301900000000001E-2</c:v>
                </c:pt>
                <c:pt idx="3">
                  <c:v>1.6995099999999999E-2</c:v>
                </c:pt>
                <c:pt idx="4">
                  <c:v>6.8686499999999996E-3</c:v>
                </c:pt>
                <c:pt idx="5">
                  <c:v>2.91267E-3</c:v>
                </c:pt>
                <c:pt idx="6">
                  <c:v>1.3483200000000001E-3</c:v>
                </c:pt>
                <c:pt idx="7">
                  <c:v>6.1655100000000001E-4</c:v>
                </c:pt>
                <c:pt idx="8">
                  <c:v>2.2329000000000001E-4</c:v>
                </c:pt>
                <c:pt idx="9">
                  <c:v>4.5900299999999998E-5</c:v>
                </c:pt>
                <c:pt idx="10">
                  <c:v>8.5412599999999996E-6</c:v>
                </c:pt>
                <c:pt idx="11">
                  <c:v>1.8353E-6</c:v>
                </c:pt>
                <c:pt idx="12">
                  <c:v>1.57781E-7</c:v>
                </c:pt>
                <c:pt idx="13">
                  <c:v>1.38306E-8</c:v>
                </c:pt>
                <c:pt idx="14">
                  <c:v>1.2425E-9</c:v>
                </c:pt>
                <c:pt idx="15">
                  <c:v>1.0795999999999999E-10</c:v>
                </c:pt>
                <c:pt idx="16">
                  <c:v>1.0644300000000001E-11</c:v>
                </c:pt>
                <c:pt idx="17">
                  <c:v>8.9897500000000005E-12</c:v>
                </c:pt>
                <c:pt idx="18">
                  <c:v>6.9897500000000002E-12</c:v>
                </c:pt>
                <c:pt idx="19">
                  <c:v>4.9897499999999998E-12</c:v>
                </c:pt>
                <c:pt idx="20">
                  <c:v>2.9897499999999999E-12</c:v>
                </c:pt>
                <c:pt idx="21">
                  <c:v>1.9897500000000001E-12</c:v>
                </c:pt>
                <c:pt idx="22">
                  <c:v>1.9897500000000001E-12</c:v>
                </c:pt>
                <c:pt idx="23">
                  <c:v>1.9897500000000001E-12</c:v>
                </c:pt>
                <c:pt idx="24">
                  <c:v>1.9897500000000001E-12</c:v>
                </c:pt>
                <c:pt idx="25">
                  <c:v>1.9897500000000001E-12</c:v>
                </c:pt>
                <c:pt idx="26">
                  <c:v>1.9897500000000001E-12</c:v>
                </c:pt>
                <c:pt idx="27">
                  <c:v>1.9897500000000001E-12</c:v>
                </c:pt>
                <c:pt idx="28">
                  <c:v>1.9897500000000001E-12</c:v>
                </c:pt>
                <c:pt idx="29">
                  <c:v>1.9897500000000001E-12</c:v>
                </c:pt>
                <c:pt idx="30">
                  <c:v>1.9897500000000001E-12</c:v>
                </c:pt>
                <c:pt idx="31">
                  <c:v>1.9897500000000001E-12</c:v>
                </c:pt>
                <c:pt idx="32">
                  <c:v>1.9897500000000001E-12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5B6-44BD-99CB-6C6B83F587F4}"/>
            </c:ext>
          </c:extLst>
        </c:ser>
        <c:ser>
          <c:idx val="4"/>
          <c:order val="1"/>
          <c:tx>
            <c:strRef>
              <c:f>Fig.12!$AF$89:$AI$89</c:f>
              <c:strCache>
                <c:ptCount val="1"/>
                <c:pt idx="0">
                  <c:v>VC-Eq-PBCD with iGreedy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Fig.12!$AI$91:$AI$115</c:f>
              <c:numCache>
                <c:formatCode>General</c:formatCode>
                <c:ptCount val="25"/>
                <c:pt idx="0">
                  <c:v>1.4199998380000001</c:v>
                </c:pt>
                <c:pt idx="1">
                  <c:v>3.5830000000000002</c:v>
                </c:pt>
                <c:pt idx="2">
                  <c:v>5.1109999999999998</c:v>
                </c:pt>
                <c:pt idx="3">
                  <c:v>6.8470000000000004</c:v>
                </c:pt>
                <c:pt idx="4">
                  <c:v>8.5630000000000006</c:v>
                </c:pt>
                <c:pt idx="5">
                  <c:v>10.225</c:v>
                </c:pt>
                <c:pt idx="6">
                  <c:v>11.824</c:v>
                </c:pt>
                <c:pt idx="7">
                  <c:v>13.423999999999999</c:v>
                </c:pt>
                <c:pt idx="8">
                  <c:v>15.442</c:v>
                </c:pt>
                <c:pt idx="9">
                  <c:v>16.981999999999999</c:v>
                </c:pt>
                <c:pt idx="10">
                  <c:v>19.696999999999999</c:v>
                </c:pt>
                <c:pt idx="11">
                  <c:v>23.382000000000001</c:v>
                </c:pt>
                <c:pt idx="12">
                  <c:v>28.91</c:v>
                </c:pt>
                <c:pt idx="13">
                  <c:v>35.832999999999998</c:v>
                </c:pt>
                <c:pt idx="14">
                  <c:v>53.726999999999997</c:v>
                </c:pt>
                <c:pt idx="15">
                  <c:v>59.74</c:v>
                </c:pt>
                <c:pt idx="16">
                  <c:v>64.843999999999994</c:v>
                </c:pt>
                <c:pt idx="17">
                  <c:v>71.165999999999997</c:v>
                </c:pt>
                <c:pt idx="18">
                  <c:v>81.716999999999999</c:v>
                </c:pt>
                <c:pt idx="19">
                  <c:v>117.217</c:v>
                </c:pt>
                <c:pt idx="20">
                  <c:v>119.036</c:v>
                </c:pt>
                <c:pt idx="21">
                  <c:v>123.804</c:v>
                </c:pt>
                <c:pt idx="22">
                  <c:v>130.87299999999999</c:v>
                </c:pt>
                <c:pt idx="23">
                  <c:v>143.86799999999999</c:v>
                </c:pt>
                <c:pt idx="24">
                  <c:v>171.642</c:v>
                </c:pt>
              </c:numCache>
              <c:extLst xmlns:c15="http://schemas.microsoft.com/office/drawing/2012/chart"/>
            </c:numRef>
          </c:xVal>
          <c:yVal>
            <c:numRef>
              <c:f>Fig.12!$AH$91:$AH$115</c:f>
              <c:numCache>
                <c:formatCode>0.00E+00</c:formatCode>
                <c:ptCount val="25"/>
                <c:pt idx="0" formatCode="General">
                  <c:v>0.76040188710000001</c:v>
                </c:pt>
                <c:pt idx="1">
                  <c:v>0.24696399999999999</c:v>
                </c:pt>
                <c:pt idx="2">
                  <c:v>4.8497899999999997E-2</c:v>
                </c:pt>
                <c:pt idx="3">
                  <c:v>1.75493E-2</c:v>
                </c:pt>
                <c:pt idx="4">
                  <c:v>6.9314499999999996E-3</c:v>
                </c:pt>
                <c:pt idx="5">
                  <c:v>3.0167800000000002E-3</c:v>
                </c:pt>
                <c:pt idx="6">
                  <c:v>1.4366299999999999E-3</c:v>
                </c:pt>
                <c:pt idx="7">
                  <c:v>6.5616299999999997E-4</c:v>
                </c:pt>
                <c:pt idx="8">
                  <c:v>2.9433500000000001E-4</c:v>
                </c:pt>
                <c:pt idx="9">
                  <c:v>9.5058700000000005E-5</c:v>
                </c:pt>
                <c:pt idx="10">
                  <c:v>2.2989900000000002E-5</c:v>
                </c:pt>
                <c:pt idx="11">
                  <c:v>5.0651400000000003E-6</c:v>
                </c:pt>
                <c:pt idx="12">
                  <c:v>3.7677699999999999E-7</c:v>
                </c:pt>
                <c:pt idx="13">
                  <c:v>9.0740000000000004E-8</c:v>
                </c:pt>
                <c:pt idx="14">
                  <c:v>9.0740000000000004E-8</c:v>
                </c:pt>
                <c:pt idx="15">
                  <c:v>9.0740000000000004E-8</c:v>
                </c:pt>
                <c:pt idx="16">
                  <c:v>7.4959000000000003E-8</c:v>
                </c:pt>
                <c:pt idx="17">
                  <c:v>4.45514E-9</c:v>
                </c:pt>
                <c:pt idx="18">
                  <c:v>3.0001599999999998E-10</c:v>
                </c:pt>
                <c:pt idx="19">
                  <c:v>3.0001599999999998E-10</c:v>
                </c:pt>
                <c:pt idx="20">
                  <c:v>3.0001599999999998E-10</c:v>
                </c:pt>
                <c:pt idx="21">
                  <c:v>3.0001599999999998E-10</c:v>
                </c:pt>
                <c:pt idx="22">
                  <c:v>3.0001599999999998E-10</c:v>
                </c:pt>
                <c:pt idx="23">
                  <c:v>8.8183199999999998E-11</c:v>
                </c:pt>
                <c:pt idx="24">
                  <c:v>6.3286000000000003E-12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5B6-44BD-99CB-6C6B83F587F4}"/>
            </c:ext>
          </c:extLst>
        </c:ser>
        <c:ser>
          <c:idx val="1"/>
          <c:order val="2"/>
          <c:tx>
            <c:strRef>
              <c:f>Fig.12!$F$89</c:f>
              <c:strCache>
                <c:ptCount val="1"/>
                <c:pt idx="0">
                  <c:v>VC-Eq-PBCD with 2iGP+moreiGreedy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Fig.12!$I$91:$I$121</c:f>
              <c:numCache>
                <c:formatCode>General</c:formatCode>
                <c:ptCount val="31"/>
                <c:pt idx="0">
                  <c:v>1.400000095</c:v>
                </c:pt>
                <c:pt idx="1">
                  <c:v>1.400000095</c:v>
                </c:pt>
                <c:pt idx="2">
                  <c:v>3.7040000000000002</c:v>
                </c:pt>
                <c:pt idx="3">
                  <c:v>8.0239999999999991</c:v>
                </c:pt>
                <c:pt idx="4">
                  <c:v>13.038</c:v>
                </c:pt>
                <c:pt idx="5">
                  <c:v>18.43</c:v>
                </c:pt>
                <c:pt idx="6">
                  <c:v>24.05</c:v>
                </c:pt>
                <c:pt idx="7">
                  <c:v>18.43</c:v>
                </c:pt>
                <c:pt idx="8">
                  <c:v>24.05</c:v>
                </c:pt>
                <c:pt idx="9">
                  <c:v>24.05</c:v>
                </c:pt>
                <c:pt idx="10">
                  <c:v>28.937999999999999</c:v>
                </c:pt>
                <c:pt idx="11">
                  <c:v>34.295999999999999</c:v>
                </c:pt>
                <c:pt idx="12">
                  <c:v>44.895000000000003</c:v>
                </c:pt>
                <c:pt idx="13">
                  <c:v>56.482999999999997</c:v>
                </c:pt>
                <c:pt idx="14">
                  <c:v>76.771000000000001</c:v>
                </c:pt>
                <c:pt idx="15">
                  <c:v>110.89</c:v>
                </c:pt>
                <c:pt idx="16">
                  <c:v>152.17500000000001</c:v>
                </c:pt>
                <c:pt idx="17">
                  <c:v>162.483</c:v>
                </c:pt>
                <c:pt idx="18">
                  <c:v>174.209</c:v>
                </c:pt>
                <c:pt idx="19">
                  <c:v>184.44499999999999</c:v>
                </c:pt>
                <c:pt idx="20">
                  <c:v>224.059</c:v>
                </c:pt>
                <c:pt idx="21">
                  <c:v>231.321</c:v>
                </c:pt>
                <c:pt idx="22">
                  <c:v>236.797</c:v>
                </c:pt>
                <c:pt idx="23">
                  <c:v>242.82499999999999</c:v>
                </c:pt>
                <c:pt idx="24">
                  <c:v>249.96600000000001</c:v>
                </c:pt>
                <c:pt idx="25">
                  <c:v>261.91399999999999</c:v>
                </c:pt>
                <c:pt idx="26">
                  <c:v>300.48399999999998</c:v>
                </c:pt>
                <c:pt idx="27">
                  <c:v>347.20699999999999</c:v>
                </c:pt>
                <c:pt idx="28">
                  <c:v>356.96199999999999</c:v>
                </c:pt>
                <c:pt idx="29">
                  <c:v>377.64</c:v>
                </c:pt>
                <c:pt idx="30">
                  <c:v>405.56099999999998</c:v>
                </c:pt>
              </c:numCache>
              <c:extLst xmlns:c15="http://schemas.microsoft.com/office/drawing/2012/chart"/>
            </c:numRef>
          </c:xVal>
          <c:yVal>
            <c:numRef>
              <c:f>Fig.12!$H$91:$H$121</c:f>
              <c:numCache>
                <c:formatCode>General</c:formatCode>
                <c:ptCount val="31"/>
                <c:pt idx="0">
                  <c:v>0.76040188710000001</c:v>
                </c:pt>
                <c:pt idx="1">
                  <c:v>0.76040188710000001</c:v>
                </c:pt>
                <c:pt idx="2" formatCode="0.00E+00">
                  <c:v>0.2402</c:v>
                </c:pt>
                <c:pt idx="3" formatCode="0.00E+00">
                  <c:v>4.7129600000000001E-2</c:v>
                </c:pt>
                <c:pt idx="4" formatCode="0.00E+00">
                  <c:v>1.7063499999999999E-2</c:v>
                </c:pt>
                <c:pt idx="5" formatCode="0.00E+00">
                  <c:v>6.9247900000000001E-3</c:v>
                </c:pt>
                <c:pt idx="6" formatCode="0.00E+00">
                  <c:v>3.0069900000000002E-3</c:v>
                </c:pt>
                <c:pt idx="7" formatCode="0.00E+00">
                  <c:v>6.9247900000000001E-3</c:v>
                </c:pt>
                <c:pt idx="8" formatCode="0.00E+00">
                  <c:v>3.0069900000000002E-3</c:v>
                </c:pt>
                <c:pt idx="9" formatCode="0.00E+00">
                  <c:v>3.0069900000000002E-3</c:v>
                </c:pt>
                <c:pt idx="10" formatCode="0.00E+00">
                  <c:v>1.3666100000000001E-3</c:v>
                </c:pt>
                <c:pt idx="11" formatCode="0.00E+00">
                  <c:v>6.4345400000000001E-4</c:v>
                </c:pt>
                <c:pt idx="12" formatCode="0.00E+00">
                  <c:v>2.6583200000000003E-4</c:v>
                </c:pt>
                <c:pt idx="13" formatCode="0.00E+00">
                  <c:v>5.1855299999999998E-5</c:v>
                </c:pt>
                <c:pt idx="14" formatCode="0.00E+00">
                  <c:v>9.7408399999999994E-6</c:v>
                </c:pt>
                <c:pt idx="15" formatCode="0.00E+00">
                  <c:v>8.5148299999999998E-7</c:v>
                </c:pt>
                <c:pt idx="16" formatCode="0.00E+00">
                  <c:v>7.33646E-8</c:v>
                </c:pt>
                <c:pt idx="17" formatCode="0.00E+00">
                  <c:v>5.5744600000000002E-9</c:v>
                </c:pt>
                <c:pt idx="18" formatCode="0.00E+00">
                  <c:v>7.1158100000000005E-10</c:v>
                </c:pt>
                <c:pt idx="19" formatCode="0.00E+00">
                  <c:v>7.6001400000000003E-11</c:v>
                </c:pt>
                <c:pt idx="20" formatCode="0.00E+00">
                  <c:v>7.6001400000000003E-11</c:v>
                </c:pt>
                <c:pt idx="21" formatCode="0.00E+00">
                  <c:v>7.6001400000000003E-11</c:v>
                </c:pt>
                <c:pt idx="22" formatCode="0.00E+00">
                  <c:v>7.6001400000000003E-11</c:v>
                </c:pt>
                <c:pt idx="23" formatCode="0.00E+00">
                  <c:v>7.6001400000000003E-11</c:v>
                </c:pt>
                <c:pt idx="24" formatCode="0.00E+00">
                  <c:v>7.6001400000000003E-11</c:v>
                </c:pt>
                <c:pt idx="25" formatCode="0.00E+00">
                  <c:v>7.6001400000000003E-11</c:v>
                </c:pt>
                <c:pt idx="26" formatCode="0.00E+00">
                  <c:v>5.1390200000000002E-11</c:v>
                </c:pt>
                <c:pt idx="27" formatCode="0.00E+00">
                  <c:v>5.1390200000000002E-11</c:v>
                </c:pt>
                <c:pt idx="28" formatCode="0.00E+00">
                  <c:v>5.1390200000000002E-11</c:v>
                </c:pt>
                <c:pt idx="29" formatCode="0.00E+00">
                  <c:v>5.1390200000000002E-11</c:v>
                </c:pt>
                <c:pt idx="30" formatCode="0.00E+00">
                  <c:v>5.1390200000000002E-11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5B6-44BD-99CB-6C6B83F587F4}"/>
            </c:ext>
          </c:extLst>
        </c:ser>
        <c:ser>
          <c:idx val="3"/>
          <c:order val="3"/>
          <c:tx>
            <c:strRef>
              <c:f>Fig.12!$L$89</c:f>
              <c:strCache>
                <c:ptCount val="1"/>
                <c:pt idx="0">
                  <c:v>VC-Eq-PBCD with 2-3iGP+mzoreiGreedy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Fig.12!$O$91:$O$114</c:f>
              <c:numCache>
                <c:formatCode>General</c:formatCode>
                <c:ptCount val="24"/>
                <c:pt idx="0">
                  <c:v>1.4049999710000001</c:v>
                </c:pt>
                <c:pt idx="1">
                  <c:v>3.5590000000000002</c:v>
                </c:pt>
                <c:pt idx="2">
                  <c:v>5.0570000000000004</c:v>
                </c:pt>
                <c:pt idx="3">
                  <c:v>6.702</c:v>
                </c:pt>
                <c:pt idx="4">
                  <c:v>8.3330000000000002</c:v>
                </c:pt>
                <c:pt idx="5">
                  <c:v>9.9489999999999998</c:v>
                </c:pt>
                <c:pt idx="6">
                  <c:v>11.522</c:v>
                </c:pt>
                <c:pt idx="7">
                  <c:v>13.129</c:v>
                </c:pt>
                <c:pt idx="8">
                  <c:v>15.163</c:v>
                </c:pt>
                <c:pt idx="9">
                  <c:v>17.693000000000001</c:v>
                </c:pt>
                <c:pt idx="10">
                  <c:v>21.027000000000001</c:v>
                </c:pt>
                <c:pt idx="11">
                  <c:v>26.244</c:v>
                </c:pt>
                <c:pt idx="12">
                  <c:v>33.238999999999997</c:v>
                </c:pt>
                <c:pt idx="13">
                  <c:v>40.421999999999997</c:v>
                </c:pt>
                <c:pt idx="14">
                  <c:v>54.847999999999999</c:v>
                </c:pt>
                <c:pt idx="15">
                  <c:v>57.524000000000001</c:v>
                </c:pt>
                <c:pt idx="16">
                  <c:v>63.295000000000002</c:v>
                </c:pt>
                <c:pt idx="17">
                  <c:v>80.603999999999999</c:v>
                </c:pt>
                <c:pt idx="18">
                  <c:v>82.8</c:v>
                </c:pt>
                <c:pt idx="19">
                  <c:v>89.792000000000002</c:v>
                </c:pt>
                <c:pt idx="20">
                  <c:v>98.055000000000007</c:v>
                </c:pt>
                <c:pt idx="21">
                  <c:v>112.248</c:v>
                </c:pt>
                <c:pt idx="22">
                  <c:v>129.18</c:v>
                </c:pt>
                <c:pt idx="23">
                  <c:v>173.52</c:v>
                </c:pt>
              </c:numCache>
            </c:numRef>
          </c:xVal>
          <c:yVal>
            <c:numRef>
              <c:f>Fig.12!$N$91:$N$114</c:f>
              <c:numCache>
                <c:formatCode>0.00E+00</c:formatCode>
                <c:ptCount val="24"/>
                <c:pt idx="0" formatCode="General">
                  <c:v>0.76040188710000001</c:v>
                </c:pt>
                <c:pt idx="1">
                  <c:v>0.2402</c:v>
                </c:pt>
                <c:pt idx="2">
                  <c:v>4.7301900000000001E-2</c:v>
                </c:pt>
                <c:pt idx="3">
                  <c:v>1.7199300000000001E-2</c:v>
                </c:pt>
                <c:pt idx="4">
                  <c:v>6.9621099999999997E-3</c:v>
                </c:pt>
                <c:pt idx="5">
                  <c:v>2.91114E-3</c:v>
                </c:pt>
                <c:pt idx="6">
                  <c:v>1.33778E-3</c:v>
                </c:pt>
                <c:pt idx="7">
                  <c:v>6.2428699999999995E-4</c:v>
                </c:pt>
                <c:pt idx="8">
                  <c:v>2.45827E-4</c:v>
                </c:pt>
                <c:pt idx="9">
                  <c:v>5.0365899999999998E-5</c:v>
                </c:pt>
                <c:pt idx="10">
                  <c:v>8.0459799999999992E-6</c:v>
                </c:pt>
                <c:pt idx="11">
                  <c:v>8.6550199999999996E-7</c:v>
                </c:pt>
                <c:pt idx="12">
                  <c:v>7.7819500000000004E-8</c:v>
                </c:pt>
                <c:pt idx="13">
                  <c:v>6.0200100000000002E-9</c:v>
                </c:pt>
                <c:pt idx="14">
                  <c:v>6.0200100000000002E-9</c:v>
                </c:pt>
                <c:pt idx="15">
                  <c:v>6.0200100000000002E-9</c:v>
                </c:pt>
                <c:pt idx="16">
                  <c:v>5.3951999999999997E-9</c:v>
                </c:pt>
                <c:pt idx="17">
                  <c:v>5.3951999999999997E-9</c:v>
                </c:pt>
                <c:pt idx="18">
                  <c:v>5.3951999999999997E-9</c:v>
                </c:pt>
                <c:pt idx="19">
                  <c:v>5.3951999999999997E-9</c:v>
                </c:pt>
                <c:pt idx="20">
                  <c:v>4.49265E-10</c:v>
                </c:pt>
                <c:pt idx="21">
                  <c:v>7.3454399999999996E-11</c:v>
                </c:pt>
                <c:pt idx="22">
                  <c:v>7.01094E-12</c:v>
                </c:pt>
                <c:pt idx="23">
                  <c:v>7.01094E-12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6-44BD-99CB-6C6B83F587F4}"/>
            </c:ext>
          </c:extLst>
        </c:ser>
        <c:ser>
          <c:idx val="2"/>
          <c:order val="4"/>
          <c:tx>
            <c:strRef>
              <c:f>Fig.12!$Q$89</c:f>
              <c:strCache>
                <c:ptCount val="1"/>
                <c:pt idx="0">
                  <c:v>VC-Eq-PBCD with 2-3-4iGP+moreiGreedy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Fig.12!$T$91:$T$108</c:f>
              <c:numCache>
                <c:formatCode>General</c:formatCode>
                <c:ptCount val="18"/>
                <c:pt idx="0">
                  <c:v>1.3989999289999999</c:v>
                </c:pt>
                <c:pt idx="1">
                  <c:v>3.5230000000000001</c:v>
                </c:pt>
                <c:pt idx="2">
                  <c:v>5.0039999999999996</c:v>
                </c:pt>
                <c:pt idx="3">
                  <c:v>6.61</c:v>
                </c:pt>
                <c:pt idx="4">
                  <c:v>8.2469999999999999</c:v>
                </c:pt>
                <c:pt idx="5">
                  <c:v>9.8569999999999993</c:v>
                </c:pt>
                <c:pt idx="6">
                  <c:v>11.474</c:v>
                </c:pt>
                <c:pt idx="7">
                  <c:v>13.039</c:v>
                </c:pt>
                <c:pt idx="8">
                  <c:v>15.478</c:v>
                </c:pt>
                <c:pt idx="9">
                  <c:v>17.943000000000001</c:v>
                </c:pt>
                <c:pt idx="10">
                  <c:v>21.96</c:v>
                </c:pt>
                <c:pt idx="11">
                  <c:v>28.271999999999998</c:v>
                </c:pt>
                <c:pt idx="12">
                  <c:v>35.341000000000001</c:v>
                </c:pt>
                <c:pt idx="13">
                  <c:v>42.561</c:v>
                </c:pt>
                <c:pt idx="14">
                  <c:v>50.892000000000003</c:v>
                </c:pt>
                <c:pt idx="15">
                  <c:v>58.921999999999997</c:v>
                </c:pt>
                <c:pt idx="16">
                  <c:v>67.95</c:v>
                </c:pt>
                <c:pt idx="17">
                  <c:v>79.069000000000003</c:v>
                </c:pt>
              </c:numCache>
            </c:numRef>
          </c:xVal>
          <c:yVal>
            <c:numRef>
              <c:f>Fig.12!$S$91:$S$108</c:f>
              <c:numCache>
                <c:formatCode>0.00E+00</c:formatCode>
                <c:ptCount val="18"/>
                <c:pt idx="0" formatCode="General">
                  <c:v>0.76040188710000001</c:v>
                </c:pt>
                <c:pt idx="1">
                  <c:v>0.2402</c:v>
                </c:pt>
                <c:pt idx="2">
                  <c:v>4.7301900000000001E-2</c:v>
                </c:pt>
                <c:pt idx="3">
                  <c:v>1.6995099999999999E-2</c:v>
                </c:pt>
                <c:pt idx="4">
                  <c:v>6.9191000000000001E-3</c:v>
                </c:pt>
                <c:pt idx="5">
                  <c:v>2.9244700000000002E-3</c:v>
                </c:pt>
                <c:pt idx="6">
                  <c:v>1.3407200000000001E-3</c:v>
                </c:pt>
                <c:pt idx="7">
                  <c:v>6.1939299999999998E-4</c:v>
                </c:pt>
                <c:pt idx="8">
                  <c:v>2.3067899999999999E-4</c:v>
                </c:pt>
                <c:pt idx="9">
                  <c:v>4.4060100000000002E-5</c:v>
                </c:pt>
                <c:pt idx="10">
                  <c:v>6.6499700000000003E-6</c:v>
                </c:pt>
                <c:pt idx="11">
                  <c:v>5.5899100000000003E-7</c:v>
                </c:pt>
                <c:pt idx="12">
                  <c:v>4.8140800000000003E-8</c:v>
                </c:pt>
                <c:pt idx="13">
                  <c:v>3.8421600000000003E-9</c:v>
                </c:pt>
                <c:pt idx="14">
                  <c:v>3.8054100000000002E-10</c:v>
                </c:pt>
                <c:pt idx="15">
                  <c:v>3.4464900000000001E-11</c:v>
                </c:pt>
                <c:pt idx="16">
                  <c:v>2.92485E-12</c:v>
                </c:pt>
                <c:pt idx="17">
                  <c:v>2.49984E-13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B6-44BD-99CB-6C6B83F587F4}"/>
            </c:ext>
          </c:extLst>
        </c:ser>
        <c:ser>
          <c:idx val="6"/>
          <c:order val="5"/>
          <c:tx>
            <c:strRef>
              <c:f>Fig.12!$V$89</c:f>
              <c:strCache>
                <c:ptCount val="1"/>
                <c:pt idx="0">
                  <c:v>VC-Eq-PBCD with 2-3-4-5iGP+moreiGreedy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Fig.12!$Y$91:$Y$115</c:f>
              <c:numCache>
                <c:formatCode>General</c:formatCode>
                <c:ptCount val="25"/>
                <c:pt idx="0">
                  <c:v>1.4260001179999999</c:v>
                </c:pt>
                <c:pt idx="1">
                  <c:v>3.544</c:v>
                </c:pt>
                <c:pt idx="2">
                  <c:v>5.0250000000000004</c:v>
                </c:pt>
                <c:pt idx="3">
                  <c:v>6.6079999999999997</c:v>
                </c:pt>
                <c:pt idx="4">
                  <c:v>8.2509999999999994</c:v>
                </c:pt>
                <c:pt idx="5">
                  <c:v>9.8940000000000001</c:v>
                </c:pt>
                <c:pt idx="6">
                  <c:v>11.471</c:v>
                </c:pt>
                <c:pt idx="7">
                  <c:v>13.067</c:v>
                </c:pt>
                <c:pt idx="8">
                  <c:v>15.499000000000001</c:v>
                </c:pt>
                <c:pt idx="9">
                  <c:v>18.021999999999998</c:v>
                </c:pt>
                <c:pt idx="10">
                  <c:v>23.257000000000001</c:v>
                </c:pt>
                <c:pt idx="11">
                  <c:v>29.638999999999999</c:v>
                </c:pt>
                <c:pt idx="12">
                  <c:v>36.524000000000001</c:v>
                </c:pt>
                <c:pt idx="13">
                  <c:v>43.847999999999999</c:v>
                </c:pt>
                <c:pt idx="14">
                  <c:v>54.201000000000001</c:v>
                </c:pt>
                <c:pt idx="15">
                  <c:v>61.96</c:v>
                </c:pt>
                <c:pt idx="16">
                  <c:v>70.143000000000001</c:v>
                </c:pt>
                <c:pt idx="17">
                  <c:v>109.09699999999999</c:v>
                </c:pt>
                <c:pt idx="18">
                  <c:v>115.39</c:v>
                </c:pt>
                <c:pt idx="19">
                  <c:v>137.09800000000001</c:v>
                </c:pt>
                <c:pt idx="20">
                  <c:v>143.84899999999999</c:v>
                </c:pt>
                <c:pt idx="21">
                  <c:v>151.16</c:v>
                </c:pt>
                <c:pt idx="22">
                  <c:v>159.1</c:v>
                </c:pt>
                <c:pt idx="23">
                  <c:v>168.816</c:v>
                </c:pt>
                <c:pt idx="24">
                  <c:v>217.12200000000001</c:v>
                </c:pt>
              </c:numCache>
            </c:numRef>
          </c:xVal>
          <c:yVal>
            <c:numRef>
              <c:f>Fig.12!$X$91:$X$115</c:f>
              <c:numCache>
                <c:formatCode>0.00E+00</c:formatCode>
                <c:ptCount val="25"/>
                <c:pt idx="0" formatCode="General">
                  <c:v>0.76040188710000001</c:v>
                </c:pt>
                <c:pt idx="1">
                  <c:v>0.2402</c:v>
                </c:pt>
                <c:pt idx="2">
                  <c:v>4.7301900000000001E-2</c:v>
                </c:pt>
                <c:pt idx="3">
                  <c:v>1.6995099999999999E-2</c:v>
                </c:pt>
                <c:pt idx="4">
                  <c:v>6.8686499999999996E-3</c:v>
                </c:pt>
                <c:pt idx="5">
                  <c:v>2.91056E-3</c:v>
                </c:pt>
                <c:pt idx="6">
                  <c:v>1.3474100000000001E-3</c:v>
                </c:pt>
                <c:pt idx="7">
                  <c:v>6.1731899999999996E-4</c:v>
                </c:pt>
                <c:pt idx="8">
                  <c:v>2.1547800000000001E-4</c:v>
                </c:pt>
                <c:pt idx="9">
                  <c:v>4.4181799999999998E-5</c:v>
                </c:pt>
                <c:pt idx="10">
                  <c:v>5.23677E-6</c:v>
                </c:pt>
                <c:pt idx="11">
                  <c:v>7.1872400000000002E-7</c:v>
                </c:pt>
                <c:pt idx="12">
                  <c:v>5.8621300000000002E-8</c:v>
                </c:pt>
                <c:pt idx="13">
                  <c:v>4.7811200000000001E-9</c:v>
                </c:pt>
                <c:pt idx="14">
                  <c:v>4.0279600000000001E-10</c:v>
                </c:pt>
                <c:pt idx="15">
                  <c:v>3.7705399999999999E-11</c:v>
                </c:pt>
                <c:pt idx="16">
                  <c:v>3.3058200000000001E-12</c:v>
                </c:pt>
                <c:pt idx="17">
                  <c:v>3.3058200000000001E-12</c:v>
                </c:pt>
                <c:pt idx="18">
                  <c:v>3.3058200000000001E-12</c:v>
                </c:pt>
                <c:pt idx="19">
                  <c:v>3.3058200000000001E-12</c:v>
                </c:pt>
                <c:pt idx="20">
                  <c:v>3.3058200000000001E-12</c:v>
                </c:pt>
                <c:pt idx="21">
                  <c:v>3.3058200000000001E-12</c:v>
                </c:pt>
                <c:pt idx="22">
                  <c:v>3.3058200000000001E-12</c:v>
                </c:pt>
                <c:pt idx="23">
                  <c:v>2.0662600000000001E-12</c:v>
                </c:pt>
                <c:pt idx="24">
                  <c:v>1.66967E-13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B6-44BD-99CB-6C6B83F587F4}"/>
            </c:ext>
          </c:extLst>
        </c:ser>
        <c:ser>
          <c:idx val="7"/>
          <c:order val="6"/>
          <c:tx>
            <c:strRef>
              <c:f>Fig.12!$AA$89</c:f>
              <c:strCache>
                <c:ptCount val="1"/>
                <c:pt idx="0">
                  <c:v>VC-Eq-PBCD with 2-3-4-5-6iGP+moreiGreedy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Fig.12!$AD$91:$AD$119</c:f>
              <c:numCache>
                <c:formatCode>General</c:formatCode>
                <c:ptCount val="29"/>
                <c:pt idx="0">
                  <c:v>1.400000095</c:v>
                </c:pt>
                <c:pt idx="1">
                  <c:v>3.548</c:v>
                </c:pt>
                <c:pt idx="2">
                  <c:v>7.62</c:v>
                </c:pt>
                <c:pt idx="3">
                  <c:v>12.326000000000001</c:v>
                </c:pt>
                <c:pt idx="4">
                  <c:v>17.934000000000001</c:v>
                </c:pt>
                <c:pt idx="5">
                  <c:v>23.786999999999999</c:v>
                </c:pt>
                <c:pt idx="6">
                  <c:v>29.321999999999999</c:v>
                </c:pt>
                <c:pt idx="7">
                  <c:v>34.61</c:v>
                </c:pt>
                <c:pt idx="8">
                  <c:v>44.433999999999997</c:v>
                </c:pt>
                <c:pt idx="9">
                  <c:v>55.381</c:v>
                </c:pt>
                <c:pt idx="10">
                  <c:v>79.501999999999995</c:v>
                </c:pt>
                <c:pt idx="11">
                  <c:v>115.979</c:v>
                </c:pt>
                <c:pt idx="12">
                  <c:v>156.893</c:v>
                </c:pt>
                <c:pt idx="13">
                  <c:v>194.70400000000001</c:v>
                </c:pt>
                <c:pt idx="14">
                  <c:v>203.417</c:v>
                </c:pt>
                <c:pt idx="15">
                  <c:v>211.88</c:v>
                </c:pt>
                <c:pt idx="16">
                  <c:v>225.20500000000001</c:v>
                </c:pt>
                <c:pt idx="17">
                  <c:v>257.74099999999999</c:v>
                </c:pt>
                <c:pt idx="18">
                  <c:v>263.53399999999999</c:v>
                </c:pt>
                <c:pt idx="19">
                  <c:v>268.10300000000001</c:v>
                </c:pt>
                <c:pt idx="20">
                  <c:v>271.86399999999998</c:v>
                </c:pt>
                <c:pt idx="21">
                  <c:v>278.11</c:v>
                </c:pt>
                <c:pt idx="22">
                  <c:v>284.827</c:v>
                </c:pt>
                <c:pt idx="23">
                  <c:v>321.74700000000001</c:v>
                </c:pt>
                <c:pt idx="24">
                  <c:v>325.33499999999998</c:v>
                </c:pt>
                <c:pt idx="25">
                  <c:v>332.64499999999998</c:v>
                </c:pt>
                <c:pt idx="26">
                  <c:v>344.02699999999999</c:v>
                </c:pt>
                <c:pt idx="27">
                  <c:v>353.52600000000001</c:v>
                </c:pt>
                <c:pt idx="28">
                  <c:v>363.62599999999998</c:v>
                </c:pt>
              </c:numCache>
            </c:numRef>
          </c:xVal>
          <c:yVal>
            <c:numRef>
              <c:f>Fig.12!$AC$91:$AC$119</c:f>
              <c:numCache>
                <c:formatCode>0.00E+00</c:formatCode>
                <c:ptCount val="29"/>
                <c:pt idx="0" formatCode="General">
                  <c:v>0.76040188710000001</c:v>
                </c:pt>
                <c:pt idx="1">
                  <c:v>0.2402</c:v>
                </c:pt>
                <c:pt idx="2">
                  <c:v>4.7301900000000001E-2</c:v>
                </c:pt>
                <c:pt idx="3">
                  <c:v>1.6995099999999999E-2</c:v>
                </c:pt>
                <c:pt idx="4">
                  <c:v>6.8686499999999996E-3</c:v>
                </c:pt>
                <c:pt idx="5">
                  <c:v>2.91267E-3</c:v>
                </c:pt>
                <c:pt idx="6">
                  <c:v>1.35213E-3</c:v>
                </c:pt>
                <c:pt idx="7">
                  <c:v>6.2224899999999996E-4</c:v>
                </c:pt>
                <c:pt idx="8">
                  <c:v>2.1982600000000001E-4</c:v>
                </c:pt>
                <c:pt idx="9">
                  <c:v>4.7080799999999998E-5</c:v>
                </c:pt>
                <c:pt idx="10">
                  <c:v>6.5251899999999999E-6</c:v>
                </c:pt>
                <c:pt idx="11">
                  <c:v>9.4741399999999999E-7</c:v>
                </c:pt>
                <c:pt idx="12">
                  <c:v>9.8612600000000003E-8</c:v>
                </c:pt>
                <c:pt idx="13">
                  <c:v>9.2010100000000007E-9</c:v>
                </c:pt>
                <c:pt idx="14">
                  <c:v>8.0823899999999998E-10</c:v>
                </c:pt>
                <c:pt idx="15">
                  <c:v>8.3104399999999996E-11</c:v>
                </c:pt>
                <c:pt idx="16">
                  <c:v>1.38358E-11</c:v>
                </c:pt>
                <c:pt idx="17">
                  <c:v>1.38358E-11</c:v>
                </c:pt>
                <c:pt idx="18">
                  <c:v>1.38358E-11</c:v>
                </c:pt>
                <c:pt idx="19">
                  <c:v>1.38358E-11</c:v>
                </c:pt>
                <c:pt idx="20">
                  <c:v>1.38358E-11</c:v>
                </c:pt>
                <c:pt idx="21">
                  <c:v>1.38358E-11</c:v>
                </c:pt>
                <c:pt idx="22">
                  <c:v>3.7022200000000004E-12</c:v>
                </c:pt>
                <c:pt idx="23">
                  <c:v>3.7022200000000004E-12</c:v>
                </c:pt>
                <c:pt idx="24">
                  <c:v>3.7022200000000004E-12</c:v>
                </c:pt>
                <c:pt idx="25">
                  <c:v>3.7022200000000004E-12</c:v>
                </c:pt>
                <c:pt idx="26">
                  <c:v>3.7022200000000004E-12</c:v>
                </c:pt>
                <c:pt idx="27">
                  <c:v>3.7022200000000004E-12</c:v>
                </c:pt>
                <c:pt idx="28">
                  <c:v>5.7221299999999996E-13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B6-44BD-99CB-6C6B83F58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2.6470571579205151E-2"/>
              <c:y val="0.38345615526964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5468745847017739"/>
          <c:y val="8.7715077610878059E-2"/>
          <c:w val="0.49697854232775185"/>
          <c:h val="0.34937935615057319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319660</xdr:colOff>
      <xdr:row>0</xdr:row>
      <xdr:rowOff>0</xdr:rowOff>
    </xdr:from>
    <xdr:to>
      <xdr:col>48</xdr:col>
      <xdr:colOff>466173</xdr:colOff>
      <xdr:row>26</xdr:row>
      <xdr:rowOff>185933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264F7FA-F19A-4A93-BA09-776476121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58070</xdr:colOff>
      <xdr:row>27</xdr:row>
      <xdr:rowOff>150230</xdr:rowOff>
    </xdr:from>
    <xdr:to>
      <xdr:col>49</xdr:col>
      <xdr:colOff>602907</xdr:colOff>
      <xdr:row>56</xdr:row>
      <xdr:rowOff>12797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B56F38C-5FF3-462E-89E4-F9A9D6924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136071</xdr:colOff>
      <xdr:row>58</xdr:row>
      <xdr:rowOff>81642</xdr:rowOff>
    </xdr:from>
    <xdr:to>
      <xdr:col>48</xdr:col>
      <xdr:colOff>447204</xdr:colOff>
      <xdr:row>86</xdr:row>
      <xdr:rowOff>134709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32CAC6E-4B13-4677-8E11-B9E1320FF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95249</xdr:colOff>
      <xdr:row>91</xdr:row>
      <xdr:rowOff>95249</xdr:rowOff>
    </xdr:from>
    <xdr:to>
      <xdr:col>47</xdr:col>
      <xdr:colOff>597813</xdr:colOff>
      <xdr:row>119</xdr:row>
      <xdr:rowOff>148316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86E69CE6-2AB0-4B12-9983-A8DF481C5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50</xdr:col>
      <xdr:colOff>78556</xdr:colOff>
      <xdr:row>0</xdr:row>
      <xdr:rowOff>0</xdr:rowOff>
    </xdr:from>
    <xdr:to>
      <xdr:col>67</xdr:col>
      <xdr:colOff>54730</xdr:colOff>
      <xdr:row>48</xdr:row>
      <xdr:rowOff>13607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B3B753A-66F0-4C4D-B13F-38275DA6C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92119" y="0"/>
          <a:ext cx="10501299" cy="9157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03CC-637A-42A8-BC39-51D4195D86B2}">
  <dimension ref="A1:BO138"/>
  <sheetViews>
    <sheetView tabSelected="1" topLeftCell="A64" zoomScale="55" zoomScaleNormal="55" workbookViewId="0">
      <selection activeCell="G93" sqref="G93"/>
    </sheetView>
  </sheetViews>
  <sheetFormatPr defaultRowHeight="15"/>
  <cols>
    <col min="1" max="1" width="25" style="10" customWidth="1"/>
    <col min="5" max="5" width="15" customWidth="1"/>
    <col min="6" max="6" width="21.5703125" style="10" customWidth="1"/>
    <col min="10" max="10" width="17.85546875" bestFit="1" customWidth="1"/>
    <col min="11" max="11" width="18.5703125" customWidth="1"/>
    <col min="12" max="12" width="21.7109375" customWidth="1"/>
    <col min="15" max="15" width="14.7109375" customWidth="1"/>
    <col min="16" max="16" width="16.28515625" customWidth="1"/>
    <col min="17" max="17" width="21.140625" customWidth="1"/>
    <col min="19" max="19" width="9.28515625" bestFit="1" customWidth="1"/>
    <col min="20" max="20" width="13.5703125" customWidth="1"/>
    <col min="21" max="21" width="18.85546875" bestFit="1" customWidth="1"/>
    <col min="22" max="22" width="26.28515625" customWidth="1"/>
    <col min="23" max="25" width="9.28515625" bestFit="1" customWidth="1"/>
    <col min="26" max="26" width="18.85546875" bestFit="1" customWidth="1"/>
    <col min="27" max="27" width="23.85546875" customWidth="1"/>
    <col min="28" max="30" width="9.28515625" bestFit="1" customWidth="1"/>
    <col min="31" max="31" width="16.5703125" customWidth="1"/>
    <col min="32" max="32" width="21.7109375" customWidth="1"/>
    <col min="33" max="33" width="9.28515625" bestFit="1" customWidth="1"/>
    <col min="36" max="36" width="17.5703125" customWidth="1"/>
    <col min="37" max="37" width="17.85546875" bestFit="1" customWidth="1"/>
  </cols>
  <sheetData>
    <row r="1" spans="1:36">
      <c r="A1" s="15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s="9" customFormat="1">
      <c r="A2" s="14" t="s">
        <v>13</v>
      </c>
      <c r="B2" s="14"/>
      <c r="C2" s="14"/>
      <c r="D2" s="14"/>
      <c r="E2"/>
      <c r="F2" s="14" t="s">
        <v>8</v>
      </c>
      <c r="G2" s="14"/>
      <c r="H2" s="14"/>
      <c r="I2" s="14"/>
      <c r="J2"/>
      <c r="K2" s="14" t="s">
        <v>9</v>
      </c>
      <c r="L2" s="14"/>
      <c r="M2" s="14"/>
      <c r="N2" s="14"/>
      <c r="O2"/>
      <c r="P2" s="14" t="s">
        <v>10</v>
      </c>
      <c r="Q2" s="14"/>
      <c r="R2" s="14"/>
      <c r="S2" s="14"/>
      <c r="T2"/>
      <c r="U2"/>
      <c r="V2" s="14" t="s">
        <v>11</v>
      </c>
      <c r="W2" s="14"/>
      <c r="X2" s="14"/>
      <c r="Y2" s="14"/>
      <c r="Z2"/>
      <c r="AA2" s="14" t="s">
        <v>12</v>
      </c>
      <c r="AB2" s="14"/>
      <c r="AC2" s="14"/>
      <c r="AD2" s="14"/>
      <c r="AE2"/>
      <c r="AF2" s="14" t="s">
        <v>7</v>
      </c>
      <c r="AG2" s="14"/>
      <c r="AH2" s="14"/>
      <c r="AI2" s="14"/>
    </row>
    <row r="3" spans="1:36">
      <c r="A3" s="10" t="s">
        <v>5</v>
      </c>
      <c r="B3" s="9" t="s">
        <v>6</v>
      </c>
      <c r="C3" s="9" t="s">
        <v>0</v>
      </c>
      <c r="D3" s="9" t="s">
        <v>1</v>
      </c>
      <c r="E3" s="9"/>
      <c r="F3" s="10" t="s">
        <v>5</v>
      </c>
      <c r="G3" s="9" t="s">
        <v>6</v>
      </c>
      <c r="H3" s="9" t="s">
        <v>0</v>
      </c>
      <c r="I3" s="9" t="s">
        <v>1</v>
      </c>
      <c r="J3" s="9"/>
      <c r="K3" s="9" t="s">
        <v>5</v>
      </c>
      <c r="L3" s="9" t="s">
        <v>6</v>
      </c>
      <c r="M3" s="9" t="s">
        <v>0</v>
      </c>
      <c r="N3" s="9" t="s">
        <v>1</v>
      </c>
      <c r="O3" s="9"/>
      <c r="P3" s="9" t="s">
        <v>5</v>
      </c>
      <c r="Q3" s="9" t="s">
        <v>6</v>
      </c>
      <c r="R3" s="9" t="s">
        <v>0</v>
      </c>
      <c r="S3" s="9" t="s">
        <v>1</v>
      </c>
      <c r="T3" s="9"/>
      <c r="V3" s="9" t="s">
        <v>5</v>
      </c>
      <c r="W3" s="9" t="s">
        <v>6</v>
      </c>
      <c r="X3" s="9" t="s">
        <v>0</v>
      </c>
      <c r="Y3" s="9" t="s">
        <v>1</v>
      </c>
      <c r="Z3" s="9"/>
      <c r="AA3" s="9" t="s">
        <v>5</v>
      </c>
      <c r="AB3" s="9" t="s">
        <v>6</v>
      </c>
      <c r="AC3" s="9" t="s">
        <v>0</v>
      </c>
      <c r="AD3" s="9" t="s">
        <v>1</v>
      </c>
      <c r="AE3" s="9"/>
      <c r="AF3" s="9" t="s">
        <v>5</v>
      </c>
      <c r="AG3" s="9" t="s">
        <v>6</v>
      </c>
      <c r="AH3" s="9" t="s">
        <v>0</v>
      </c>
      <c r="AI3" s="9" t="s">
        <v>1</v>
      </c>
    </row>
    <row r="4" spans="1:36">
      <c r="A4" s="10">
        <v>1296061.71897669</v>
      </c>
      <c r="B4">
        <v>0</v>
      </c>
      <c r="C4">
        <v>2.4220605020000001E-2</v>
      </c>
      <c r="D4">
        <f>D10*1/7</f>
        <v>1.7142857142857144E-3</v>
      </c>
      <c r="E4" s="10"/>
      <c r="F4" s="10">
        <v>1296061.71897669</v>
      </c>
      <c r="G4">
        <v>0</v>
      </c>
      <c r="H4">
        <v>2.4220605020000001E-2</v>
      </c>
      <c r="I4">
        <v>3.0000209809999999E-3</v>
      </c>
      <c r="J4" s="10"/>
      <c r="K4" s="10">
        <v>1296061.71897669</v>
      </c>
      <c r="L4">
        <v>0</v>
      </c>
      <c r="M4">
        <v>2.4220605020000001E-2</v>
      </c>
      <c r="N4">
        <v>9.9992752079999998E-4</v>
      </c>
      <c r="O4" s="10"/>
      <c r="P4" s="10">
        <v>1296061.71897669</v>
      </c>
      <c r="Q4">
        <v>0</v>
      </c>
      <c r="R4">
        <v>2.4220605020000001E-2</v>
      </c>
      <c r="S4">
        <v>3.9999485020000003E-3</v>
      </c>
      <c r="T4" s="10"/>
      <c r="V4" s="10">
        <v>1296061.71897669</v>
      </c>
      <c r="W4">
        <v>0</v>
      </c>
      <c r="X4">
        <v>2.4220605020000001E-2</v>
      </c>
      <c r="Y4">
        <f>Y9*2/7</f>
        <v>4.2857142857142859E-3</v>
      </c>
      <c r="Z4" s="10"/>
      <c r="AA4" s="10">
        <v>1296061.71897669</v>
      </c>
      <c r="AB4">
        <v>0</v>
      </c>
      <c r="AC4">
        <v>2.4220605020000001E-2</v>
      </c>
      <c r="AD4">
        <v>9.9992752079999998E-4</v>
      </c>
      <c r="AE4" s="10"/>
      <c r="AF4" s="10">
        <v>1296061.71897669</v>
      </c>
      <c r="AG4">
        <v>0</v>
      </c>
      <c r="AH4">
        <v>2.4220605020000001E-2</v>
      </c>
      <c r="AI4">
        <v>1.9998550419999999E-3</v>
      </c>
      <c r="AJ4" s="10"/>
    </row>
    <row r="5" spans="1:36">
      <c r="A5" s="10">
        <v>1288329.99321482</v>
      </c>
      <c r="B5">
        <v>1</v>
      </c>
      <c r="C5" s="1">
        <v>2.6262999999999998E-3</v>
      </c>
      <c r="D5">
        <f>D10*2/7</f>
        <v>3.4285714285714288E-3</v>
      </c>
      <c r="E5" s="10"/>
      <c r="F5" s="10">
        <v>1287011.9648206001</v>
      </c>
      <c r="G5">
        <v>1</v>
      </c>
      <c r="H5" s="1">
        <v>9.6596900000000001E-4</v>
      </c>
      <c r="I5">
        <v>4.0000000000000001E-3</v>
      </c>
      <c r="J5" s="10"/>
      <c r="K5" s="10">
        <v>1287011.9648206001</v>
      </c>
      <c r="L5">
        <v>1</v>
      </c>
      <c r="M5" s="1">
        <v>9.6596900000000001E-4</v>
      </c>
      <c r="N5">
        <v>4.0000000000000001E-3</v>
      </c>
      <c r="O5" s="10"/>
      <c r="P5" s="10">
        <v>1287011.9648206001</v>
      </c>
      <c r="Q5">
        <v>1</v>
      </c>
      <c r="R5" s="1">
        <v>9.6596900000000001E-4</v>
      </c>
      <c r="S5">
        <v>4.0000000000000001E-3</v>
      </c>
      <c r="T5" s="10"/>
      <c r="V5" s="10">
        <v>1287011.9648206001</v>
      </c>
      <c r="W5">
        <v>1</v>
      </c>
      <c r="X5" s="1">
        <v>9.6596900000000001E-4</v>
      </c>
      <c r="Y5">
        <f>Y9*3/7</f>
        <v>6.4285714285714285E-3</v>
      </c>
      <c r="Z5" s="10"/>
      <c r="AA5" s="10">
        <v>1287011.9648206001</v>
      </c>
      <c r="AB5">
        <v>1</v>
      </c>
      <c r="AC5" s="1">
        <v>9.6596900000000001E-4</v>
      </c>
      <c r="AD5">
        <v>4.0000000000000001E-3</v>
      </c>
      <c r="AE5" s="10"/>
      <c r="AF5" s="10">
        <v>1288329.99321482</v>
      </c>
      <c r="AG5">
        <v>1</v>
      </c>
      <c r="AH5" s="1">
        <v>2.6262999999999998E-3</v>
      </c>
      <c r="AI5">
        <v>6.0000000000000001E-3</v>
      </c>
      <c r="AJ5" s="10"/>
    </row>
    <row r="6" spans="1:36">
      <c r="A6" s="10">
        <v>1286176.62914128</v>
      </c>
      <c r="B6">
        <v>2</v>
      </c>
      <c r="C6" s="1">
        <v>1.78488E-4</v>
      </c>
      <c r="D6">
        <f>D10*3/7</f>
        <v>5.1428571428571435E-3</v>
      </c>
      <c r="E6" s="10"/>
      <c r="F6" s="10">
        <v>1286098.8862967</v>
      </c>
      <c r="G6">
        <v>2</v>
      </c>
      <c r="H6" s="1">
        <v>8.1840499999999997E-5</v>
      </c>
      <c r="I6">
        <v>6.0000000000000001E-3</v>
      </c>
      <c r="J6" s="10"/>
      <c r="K6" s="10">
        <v>1286101.6047992699</v>
      </c>
      <c r="L6">
        <v>2</v>
      </c>
      <c r="M6" s="1">
        <v>8.3036799999999998E-5</v>
      </c>
      <c r="N6">
        <v>5.0000000000000001E-3</v>
      </c>
      <c r="O6" s="10"/>
      <c r="P6" s="10">
        <v>1286101.6047992699</v>
      </c>
      <c r="Q6">
        <v>2</v>
      </c>
      <c r="R6" s="1">
        <v>8.3036799999999998E-5</v>
      </c>
      <c r="S6">
        <v>8.0000000000000002E-3</v>
      </c>
      <c r="T6" s="10"/>
      <c r="V6" s="10">
        <v>1286101.6047992699</v>
      </c>
      <c r="W6">
        <v>2</v>
      </c>
      <c r="X6" s="1">
        <v>8.3036799999999998E-5</v>
      </c>
      <c r="Y6">
        <f>Y9*4/7</f>
        <v>8.5714285714285719E-3</v>
      </c>
      <c r="Z6" s="10"/>
      <c r="AA6" s="10">
        <v>1286101.6047992699</v>
      </c>
      <c r="AB6">
        <v>2</v>
      </c>
      <c r="AC6" s="1">
        <v>8.3036799999999998E-5</v>
      </c>
      <c r="AD6">
        <v>5.0000000000000001E-3</v>
      </c>
      <c r="AE6" s="10"/>
      <c r="AF6" s="10">
        <v>1286176.62914128</v>
      </c>
      <c r="AG6">
        <v>2</v>
      </c>
      <c r="AH6" s="1">
        <v>1.78488E-4</v>
      </c>
      <c r="AI6">
        <v>1.0999999999999999E-2</v>
      </c>
      <c r="AJ6" s="10"/>
    </row>
    <row r="7" spans="1:36">
      <c r="A7" s="10">
        <v>1286041.1963364601</v>
      </c>
      <c r="B7">
        <v>3</v>
      </c>
      <c r="C7" s="1">
        <v>1.49544E-5</v>
      </c>
      <c r="D7">
        <f>D10*4/7</f>
        <v>6.8571428571428577E-3</v>
      </c>
      <c r="E7" s="10"/>
      <c r="F7" s="10">
        <v>1286034.58558026</v>
      </c>
      <c r="G7">
        <v>3</v>
      </c>
      <c r="H7" s="1">
        <v>8.3699900000000005E-6</v>
      </c>
      <c r="I7">
        <v>6.0000000000000001E-3</v>
      </c>
      <c r="J7" s="10"/>
      <c r="K7" s="10">
        <v>1286051.3329793999</v>
      </c>
      <c r="L7">
        <v>3</v>
      </c>
      <c r="M7" s="1">
        <v>3.3431099999999999E-5</v>
      </c>
      <c r="N7">
        <v>6.0000000000000001E-3</v>
      </c>
      <c r="O7" s="10"/>
      <c r="P7" s="10">
        <v>1286051.36769639</v>
      </c>
      <c r="Q7">
        <v>3</v>
      </c>
      <c r="R7" s="1">
        <v>3.3151700000000003E-5</v>
      </c>
      <c r="S7">
        <v>8.0000000000000002E-3</v>
      </c>
      <c r="T7" s="10"/>
      <c r="V7" s="10">
        <v>1286051.36769639</v>
      </c>
      <c r="W7">
        <v>3</v>
      </c>
      <c r="X7" s="1">
        <v>3.3151700000000003E-5</v>
      </c>
      <c r="Y7">
        <f>Y9*5/7</f>
        <v>1.0714285714285714E-2</v>
      </c>
      <c r="Z7" s="10"/>
      <c r="AA7" s="10">
        <v>1286051.36769639</v>
      </c>
      <c r="AB7">
        <v>3</v>
      </c>
      <c r="AC7" s="1">
        <v>3.3151700000000003E-5</v>
      </c>
      <c r="AD7">
        <v>8.0000000000000002E-3</v>
      </c>
      <c r="AE7" s="10"/>
      <c r="AF7" s="10">
        <v>1286041.1963364601</v>
      </c>
      <c r="AG7">
        <v>3</v>
      </c>
      <c r="AH7" s="1">
        <v>1.49544E-5</v>
      </c>
      <c r="AI7">
        <v>1.4E-2</v>
      </c>
      <c r="AJ7" s="10"/>
    </row>
    <row r="8" spans="1:36">
      <c r="A8" s="10">
        <v>1286034.35737706</v>
      </c>
      <c r="B8">
        <v>4</v>
      </c>
      <c r="C8" s="1">
        <v>1.4551E-5</v>
      </c>
      <c r="D8">
        <f>D10*5/7</f>
        <v>8.5714285714285719E-3</v>
      </c>
      <c r="E8" s="10"/>
      <c r="F8" s="10">
        <v>1286032.22982537</v>
      </c>
      <c r="G8">
        <v>4</v>
      </c>
      <c r="H8" s="1">
        <v>1.2803E-6</v>
      </c>
      <c r="I8">
        <v>6.0000000000000001E-3</v>
      </c>
      <c r="J8" s="10"/>
      <c r="K8" s="10">
        <v>1286033.2623650499</v>
      </c>
      <c r="L8">
        <v>4</v>
      </c>
      <c r="M8" s="1">
        <v>1.01286E-5</v>
      </c>
      <c r="N8">
        <v>8.0000000000000002E-3</v>
      </c>
      <c r="O8" s="10"/>
      <c r="P8" s="10">
        <v>1286033.2659543799</v>
      </c>
      <c r="Q8">
        <v>4</v>
      </c>
      <c r="R8" s="1">
        <v>1.0136799999999999E-5</v>
      </c>
      <c r="S8">
        <v>8.0000000000000002E-3</v>
      </c>
      <c r="T8" s="10"/>
      <c r="V8" s="10">
        <v>1286033.2658845801</v>
      </c>
      <c r="W8">
        <v>4</v>
      </c>
      <c r="X8" s="1">
        <v>1.0136700000000001E-5</v>
      </c>
      <c r="Y8">
        <f>Y9*6/7</f>
        <v>1.2857142857142857E-2</v>
      </c>
      <c r="Z8" s="10"/>
      <c r="AA8" s="10">
        <v>1286033.2658845801</v>
      </c>
      <c r="AB8">
        <v>4</v>
      </c>
      <c r="AC8" s="1">
        <v>1.0136700000000001E-5</v>
      </c>
      <c r="AD8">
        <v>8.0000000000000002E-3</v>
      </c>
      <c r="AE8" s="10"/>
      <c r="AF8" s="10">
        <v>1286034.35737706</v>
      </c>
      <c r="AG8">
        <v>4</v>
      </c>
      <c r="AH8" s="1">
        <v>1.4551E-5</v>
      </c>
      <c r="AI8">
        <v>1.4999999999999999E-2</v>
      </c>
      <c r="AJ8" s="10"/>
    </row>
    <row r="9" spans="1:36">
      <c r="A9" s="10">
        <v>1286032.3694239799</v>
      </c>
      <c r="B9">
        <v>5</v>
      </c>
      <c r="C9" s="1">
        <v>7.3149899999999998E-7</v>
      </c>
      <c r="D9">
        <f>D10*6/7</f>
        <v>1.0285714285714287E-2</v>
      </c>
      <c r="E9" s="10"/>
      <c r="F9" s="10">
        <v>1286032.1583346899</v>
      </c>
      <c r="G9">
        <v>5</v>
      </c>
      <c r="H9" s="1">
        <v>2.4355999999999999E-7</v>
      </c>
      <c r="I9">
        <v>1.7000000000000001E-2</v>
      </c>
      <c r="J9" s="10"/>
      <c r="K9" s="10">
        <v>1286032.25708132</v>
      </c>
      <c r="L9">
        <v>5</v>
      </c>
      <c r="M9" s="1">
        <v>2.3740099999999999E-6</v>
      </c>
      <c r="N9">
        <v>0.01</v>
      </c>
      <c r="O9" s="10"/>
      <c r="P9" s="10">
        <v>1286032.25527287</v>
      </c>
      <c r="Q9">
        <v>5</v>
      </c>
      <c r="R9" s="1">
        <v>2.4216799999999999E-6</v>
      </c>
      <c r="S9">
        <v>8.0000000000000002E-3</v>
      </c>
      <c r="T9" s="10"/>
      <c r="V9" s="10">
        <v>1286032.25526038</v>
      </c>
      <c r="W9">
        <v>5</v>
      </c>
      <c r="X9" s="1">
        <v>2.4218599999999998E-6</v>
      </c>
      <c r="Y9">
        <v>1.4999999999999999E-2</v>
      </c>
      <c r="Z9" s="10"/>
      <c r="AA9" s="10">
        <v>1286032.25526038</v>
      </c>
      <c r="AB9">
        <v>5</v>
      </c>
      <c r="AC9" s="1">
        <v>2.4218599999999998E-6</v>
      </c>
      <c r="AD9">
        <v>8.0000000000000002E-3</v>
      </c>
      <c r="AE9" s="10"/>
      <c r="AF9" s="10">
        <v>1286032.3694239799</v>
      </c>
      <c r="AG9">
        <v>5</v>
      </c>
      <c r="AH9" s="1">
        <v>7.3149899999999998E-7</v>
      </c>
      <c r="AI9">
        <v>1.9E-2</v>
      </c>
      <c r="AJ9" s="10"/>
    </row>
    <row r="10" spans="1:36">
      <c r="A10" s="10">
        <v>1286032.14701063</v>
      </c>
      <c r="B10">
        <v>6</v>
      </c>
      <c r="C10" s="1">
        <v>2.1559399999999999E-7</v>
      </c>
      <c r="D10">
        <v>1.2E-2</v>
      </c>
      <c r="E10" s="10"/>
      <c r="F10" s="10">
        <v>1286032.1462745499</v>
      </c>
      <c r="G10">
        <v>6</v>
      </c>
      <c r="H10" s="1">
        <v>1.57807E-7</v>
      </c>
      <c r="I10">
        <v>1.9E-2</v>
      </c>
      <c r="J10" s="10"/>
      <c r="K10" s="10">
        <v>1286032.1659117001</v>
      </c>
      <c r="L10">
        <v>6</v>
      </c>
      <c r="M10" s="1">
        <v>6.1649799999999999E-7</v>
      </c>
      <c r="N10">
        <v>1.7000000000000001E-2</v>
      </c>
      <c r="O10" s="10"/>
      <c r="P10" s="10">
        <v>1286032.16685902</v>
      </c>
      <c r="Q10">
        <v>6</v>
      </c>
      <c r="R10" s="1">
        <v>6.1659999999999995E-7</v>
      </c>
      <c r="S10">
        <v>1.9E-2</v>
      </c>
      <c r="T10" s="10"/>
      <c r="V10" s="10">
        <v>1286032.1668481799</v>
      </c>
      <c r="W10">
        <v>6</v>
      </c>
      <c r="X10" s="1">
        <v>6.16176E-7</v>
      </c>
      <c r="Y10">
        <v>1.9E-2</v>
      </c>
      <c r="Z10" s="10"/>
      <c r="AA10" s="10">
        <v>1286032.1668481799</v>
      </c>
      <c r="AB10">
        <v>6</v>
      </c>
      <c r="AC10" s="1">
        <v>6.16176E-7</v>
      </c>
      <c r="AD10">
        <v>1.7000000000000001E-2</v>
      </c>
      <c r="AE10" s="10"/>
      <c r="AF10" s="10">
        <v>1286032.14701063</v>
      </c>
      <c r="AG10">
        <v>6</v>
      </c>
      <c r="AH10" s="1">
        <v>2.1559399999999999E-7</v>
      </c>
      <c r="AI10">
        <v>2.1999999999999999E-2</v>
      </c>
      <c r="AJ10" s="10"/>
    </row>
    <row r="11" spans="1:36">
      <c r="A11" s="10">
        <v>1286032.1425938499</v>
      </c>
      <c r="B11">
        <v>7</v>
      </c>
      <c r="C11" s="1">
        <v>6.4841899999999997E-9</v>
      </c>
      <c r="D11">
        <v>1.2E-2</v>
      </c>
      <c r="E11" s="10"/>
      <c r="F11" s="10">
        <v>1286032.1426110901</v>
      </c>
      <c r="G11">
        <v>7</v>
      </c>
      <c r="H11" s="1">
        <v>7.0804800000000003E-9</v>
      </c>
      <c r="I11">
        <v>3.4000000000000002E-2</v>
      </c>
      <c r="J11" s="10"/>
      <c r="K11" s="10">
        <v>1286032.1546030601</v>
      </c>
      <c r="L11">
        <v>7</v>
      </c>
      <c r="M11" s="1">
        <v>4.3495499999999999E-7</v>
      </c>
      <c r="N11">
        <v>1.9E-2</v>
      </c>
      <c r="O11" s="10"/>
      <c r="P11" s="10">
        <v>1286032.1546599001</v>
      </c>
      <c r="Q11">
        <v>7</v>
      </c>
      <c r="R11" s="1">
        <v>4.47009E-7</v>
      </c>
      <c r="S11">
        <v>3.1E-2</v>
      </c>
      <c r="T11" s="10"/>
      <c r="U11" t="s">
        <v>2</v>
      </c>
      <c r="V11" s="10">
        <v>1286032.1546592801</v>
      </c>
      <c r="W11">
        <v>7</v>
      </c>
      <c r="X11" s="1">
        <v>4.4703299999999998E-7</v>
      </c>
      <c r="Y11">
        <v>0.03</v>
      </c>
      <c r="Z11" s="10"/>
      <c r="AA11" s="10">
        <v>1286032.1546592801</v>
      </c>
      <c r="AB11">
        <v>7</v>
      </c>
      <c r="AC11" s="1">
        <v>4.4703299999999998E-7</v>
      </c>
      <c r="AD11">
        <v>1.7999999999999999E-2</v>
      </c>
      <c r="AE11" s="10"/>
      <c r="AF11" s="10">
        <v>1286032.1425938499</v>
      </c>
      <c r="AG11">
        <v>7</v>
      </c>
      <c r="AH11" s="1">
        <v>6.4841899999999997E-9</v>
      </c>
      <c r="AI11">
        <v>3.4000000000000002E-2</v>
      </c>
      <c r="AJ11" s="10"/>
    </row>
    <row r="12" spans="1:36">
      <c r="A12" s="10">
        <v>1286032.14244549</v>
      </c>
      <c r="B12">
        <v>8</v>
      </c>
      <c r="C12" s="5">
        <v>5.1458799999999996E-10</v>
      </c>
      <c r="D12" s="3">
        <v>3.9E-2</v>
      </c>
      <c r="E12" s="10"/>
      <c r="F12" s="11">
        <v>1286032.14244235</v>
      </c>
      <c r="G12" s="3">
        <v>8</v>
      </c>
      <c r="H12" s="5">
        <v>4.2362300000000001E-10</v>
      </c>
      <c r="I12" s="3">
        <v>4.8000000000000001E-2</v>
      </c>
      <c r="J12" s="10"/>
      <c r="K12" s="10">
        <v>1286032.14667479</v>
      </c>
      <c r="L12" s="3">
        <v>8</v>
      </c>
      <c r="M12" s="5">
        <v>1.4243299999999999E-7</v>
      </c>
      <c r="N12" s="3">
        <v>3.2000000000000001E-2</v>
      </c>
      <c r="O12" s="10"/>
      <c r="P12" s="10">
        <v>1286032.14673306</v>
      </c>
      <c r="Q12" s="3">
        <v>8</v>
      </c>
      <c r="R12" s="5">
        <v>1.4257199999999999E-7</v>
      </c>
      <c r="S12" s="3">
        <v>3.1E-2</v>
      </c>
      <c r="T12" s="10"/>
      <c r="U12" s="3" t="s">
        <v>2</v>
      </c>
      <c r="V12" s="10">
        <v>1286032.1467323001</v>
      </c>
      <c r="W12" s="3">
        <v>8</v>
      </c>
      <c r="X12" s="5">
        <v>1.4219500000000001E-7</v>
      </c>
      <c r="Y12" s="3">
        <v>0.03</v>
      </c>
      <c r="Z12" s="10"/>
      <c r="AA12" s="10">
        <v>1286032.1467323001</v>
      </c>
      <c r="AB12" s="3">
        <v>8</v>
      </c>
      <c r="AC12" s="1">
        <v>1.4219500000000001E-7</v>
      </c>
      <c r="AD12">
        <v>3.4000000000000002E-2</v>
      </c>
      <c r="AE12" s="10"/>
      <c r="AF12" s="10">
        <v>1286032.14244549</v>
      </c>
      <c r="AG12">
        <v>8</v>
      </c>
      <c r="AH12" s="1">
        <v>5.1458799999999996E-10</v>
      </c>
      <c r="AI12">
        <v>3.9E-2</v>
      </c>
      <c r="AJ12" s="10"/>
    </row>
    <row r="13" spans="1:36">
      <c r="A13" s="10">
        <v>1286032.14243792</v>
      </c>
      <c r="B13">
        <v>9</v>
      </c>
      <c r="C13" s="5">
        <v>1.5842999999999999E-10</v>
      </c>
      <c r="D13" s="3">
        <v>5.1999999999999998E-2</v>
      </c>
      <c r="E13" s="10"/>
      <c r="F13" s="11">
        <v>1286032.1424370599</v>
      </c>
      <c r="G13" s="3">
        <v>9</v>
      </c>
      <c r="H13" s="5">
        <v>1.2703700000000001E-10</v>
      </c>
      <c r="I13" s="3">
        <v>6.2E-2</v>
      </c>
      <c r="J13" s="10"/>
      <c r="K13" s="10">
        <v>1286032.14250054</v>
      </c>
      <c r="L13" s="3">
        <v>9</v>
      </c>
      <c r="M13" s="5">
        <v>4.8877E-9</v>
      </c>
      <c r="N13" s="3">
        <v>4.2000000000000003E-2</v>
      </c>
      <c r="O13" s="10"/>
      <c r="P13" s="10">
        <v>1286032.1426798101</v>
      </c>
      <c r="Q13" s="3">
        <v>9</v>
      </c>
      <c r="R13" s="5">
        <v>7.0243700000000002E-9</v>
      </c>
      <c r="S13" s="3">
        <v>4.2000000000000003E-2</v>
      </c>
      <c r="T13" s="10"/>
      <c r="U13" s="3"/>
      <c r="V13" s="10">
        <v>1286032.1426482201</v>
      </c>
      <c r="W13" s="3">
        <v>9</v>
      </c>
      <c r="X13" s="5">
        <v>6.0246000000000001E-9</v>
      </c>
      <c r="Y13" s="3">
        <v>4.7E-2</v>
      </c>
      <c r="Z13" s="10"/>
      <c r="AA13" s="10">
        <v>1286032.1426482201</v>
      </c>
      <c r="AB13" s="3">
        <v>9</v>
      </c>
      <c r="AC13" s="1">
        <v>6.0246000000000001E-9</v>
      </c>
      <c r="AD13">
        <v>0.04</v>
      </c>
      <c r="AE13" s="10"/>
      <c r="AF13" s="10">
        <v>1286032.14243792</v>
      </c>
      <c r="AG13">
        <v>9</v>
      </c>
      <c r="AH13" s="1">
        <v>1.5842999999999999E-10</v>
      </c>
      <c r="AI13">
        <v>5.5E-2</v>
      </c>
      <c r="AJ13" s="10"/>
    </row>
    <row r="14" spans="1:36">
      <c r="A14" s="10">
        <v>1286032.14243616</v>
      </c>
      <c r="B14">
        <v>10</v>
      </c>
      <c r="C14" s="5">
        <v>7.4345999999999998E-11</v>
      </c>
      <c r="D14" s="3">
        <v>6.2E-2</v>
      </c>
      <c r="E14" s="10"/>
      <c r="F14" s="11">
        <v>1286032.14243596</v>
      </c>
      <c r="G14" s="3">
        <v>10</v>
      </c>
      <c r="H14" s="5">
        <v>5.9027500000000006E-11</v>
      </c>
      <c r="I14" s="3">
        <v>7.5999999999999998E-2</v>
      </c>
      <c r="J14" s="10"/>
      <c r="K14" s="10">
        <v>1286032.14243699</v>
      </c>
      <c r="L14" s="3">
        <v>10</v>
      </c>
      <c r="M14" s="5">
        <v>2.09855E-10</v>
      </c>
      <c r="N14" s="3">
        <v>0.06</v>
      </c>
      <c r="O14" s="10"/>
      <c r="P14" s="10">
        <v>1286032.14243772</v>
      </c>
      <c r="Q14" s="3">
        <v>10</v>
      </c>
      <c r="R14" s="5">
        <v>3.3350699999999999E-10</v>
      </c>
      <c r="S14" s="3">
        <v>5.8999999999999997E-2</v>
      </c>
      <c r="T14" s="10"/>
      <c r="U14" s="3"/>
      <c r="V14" s="10">
        <v>1286032.1424376499</v>
      </c>
      <c r="W14" s="3">
        <v>10</v>
      </c>
      <c r="X14" s="5">
        <v>3.0228899999999999E-10</v>
      </c>
      <c r="Y14" s="3">
        <v>6.3E-2</v>
      </c>
      <c r="Z14" s="10"/>
      <c r="AA14" s="10">
        <v>1286032.1424376499</v>
      </c>
      <c r="AB14" s="3">
        <v>10</v>
      </c>
      <c r="AC14" s="1">
        <v>3.0228899999999999E-10</v>
      </c>
      <c r="AD14">
        <v>6.0999999999999999E-2</v>
      </c>
      <c r="AE14" s="10"/>
      <c r="AF14" s="10">
        <v>1286032.14243616</v>
      </c>
      <c r="AG14">
        <v>10</v>
      </c>
      <c r="AH14" s="1">
        <v>7.4345999999999998E-11</v>
      </c>
      <c r="AI14">
        <v>7.1999999999999995E-2</v>
      </c>
      <c r="AJ14" s="10"/>
    </row>
    <row r="15" spans="1:36">
      <c r="A15" s="10">
        <v>1286032.14243574</v>
      </c>
      <c r="B15">
        <v>11</v>
      </c>
      <c r="C15" s="5">
        <v>3.6049299999999997E-11</v>
      </c>
      <c r="D15" s="3">
        <v>8.6999999999999994E-2</v>
      </c>
      <c r="E15" s="10"/>
      <c r="F15" s="11">
        <v>1286032.1424356999</v>
      </c>
      <c r="G15" s="3">
        <v>11</v>
      </c>
      <c r="H15" s="5">
        <v>2.8699099999999999E-11</v>
      </c>
      <c r="I15" s="3">
        <v>8.3000000000000004E-2</v>
      </c>
      <c r="J15" s="10"/>
      <c r="K15" s="10">
        <v>1286032.1424356699</v>
      </c>
      <c r="L15" s="3">
        <v>11</v>
      </c>
      <c r="M15" s="5">
        <v>3.14258E-11</v>
      </c>
      <c r="N15" s="3">
        <v>7.4999999999999997E-2</v>
      </c>
      <c r="O15" s="10"/>
      <c r="P15" s="10">
        <v>1286032.1424356699</v>
      </c>
      <c r="Q15" s="3">
        <v>11</v>
      </c>
      <c r="R15" s="5">
        <v>3.3523500000000002E-11</v>
      </c>
      <c r="S15" s="3">
        <v>7.4999999999999997E-2</v>
      </c>
      <c r="T15" s="10"/>
      <c r="U15" s="3"/>
      <c r="V15" s="10">
        <v>1286032.1424356699</v>
      </c>
      <c r="W15" s="3">
        <v>11</v>
      </c>
      <c r="X15" s="5">
        <v>3.2172699999999998E-11</v>
      </c>
      <c r="Y15" s="3">
        <v>7.8E-2</v>
      </c>
      <c r="Z15" s="10"/>
      <c r="AA15" s="10">
        <v>1286032.1424356699</v>
      </c>
      <c r="AB15" s="3">
        <v>11</v>
      </c>
      <c r="AC15" s="1">
        <v>3.2172699999999998E-11</v>
      </c>
      <c r="AD15">
        <v>7.4999999999999997E-2</v>
      </c>
      <c r="AE15" s="10"/>
      <c r="AF15" s="10">
        <v>1286032.14243574</v>
      </c>
      <c r="AG15">
        <v>11</v>
      </c>
      <c r="AH15" s="1">
        <v>3.6049299999999997E-11</v>
      </c>
      <c r="AI15">
        <v>8.7999999999999995E-2</v>
      </c>
      <c r="AJ15" s="10"/>
    </row>
    <row r="16" spans="1:36">
      <c r="A16" s="10">
        <v>1286032.1424356401</v>
      </c>
      <c r="B16">
        <v>12</v>
      </c>
      <c r="C16" s="5">
        <v>1.7550899999999999E-11</v>
      </c>
      <c r="D16" s="3">
        <v>0.1</v>
      </c>
      <c r="E16" s="10"/>
      <c r="F16" s="11">
        <v>1286032.1424356301</v>
      </c>
      <c r="G16" s="3">
        <v>12</v>
      </c>
      <c r="H16" s="5">
        <v>1.40075E-11</v>
      </c>
      <c r="I16" s="3">
        <v>9.9000000000000005E-2</v>
      </c>
      <c r="J16" s="10"/>
      <c r="K16" s="10">
        <v>1286032.1424356201</v>
      </c>
      <c r="L16" s="3">
        <v>12</v>
      </c>
      <c r="M16" s="5">
        <v>1.00141E-11</v>
      </c>
      <c r="N16" s="3">
        <v>8.2000000000000003E-2</v>
      </c>
      <c r="O16" s="10"/>
      <c r="P16" s="10">
        <v>1286032.1424356201</v>
      </c>
      <c r="Q16" s="3">
        <v>12</v>
      </c>
      <c r="R16" s="5">
        <v>9.4234800000000006E-12</v>
      </c>
      <c r="S16" s="3">
        <v>9.1999999999999998E-2</v>
      </c>
      <c r="T16" s="10"/>
      <c r="U16" s="3"/>
      <c r="V16" s="10">
        <v>1286032.1424356201</v>
      </c>
      <c r="W16" s="3">
        <v>12</v>
      </c>
      <c r="X16" s="5">
        <v>8.8955900000000001E-12</v>
      </c>
      <c r="Y16" s="3">
        <v>9.5000000000000001E-2</v>
      </c>
      <c r="Z16" s="10"/>
      <c r="AA16" s="10">
        <v>1286032.1424356201</v>
      </c>
      <c r="AB16" s="3">
        <v>12</v>
      </c>
      <c r="AC16" s="1">
        <v>8.8955900000000001E-12</v>
      </c>
      <c r="AD16">
        <v>8.2000000000000003E-2</v>
      </c>
      <c r="AE16" s="10"/>
      <c r="AF16" s="10">
        <v>1286032.1424356401</v>
      </c>
      <c r="AG16">
        <v>12</v>
      </c>
      <c r="AH16" s="1">
        <v>1.7550899999999999E-11</v>
      </c>
      <c r="AI16">
        <v>8.7999999999999995E-2</v>
      </c>
      <c r="AJ16" s="10"/>
    </row>
    <row r="17" spans="1:37">
      <c r="A17" s="10">
        <v>1286032.1424356201</v>
      </c>
      <c r="B17">
        <v>13</v>
      </c>
      <c r="C17" s="5">
        <v>9.1084999999999998E-12</v>
      </c>
      <c r="D17" s="3">
        <v>0.113</v>
      </c>
      <c r="E17" s="10"/>
      <c r="F17" s="11">
        <v>1286032.1424356201</v>
      </c>
      <c r="G17" s="3">
        <v>13</v>
      </c>
      <c r="H17" s="5">
        <v>6.8668799999999999E-12</v>
      </c>
      <c r="I17" s="3">
        <v>9.9000000000000005E-2</v>
      </c>
      <c r="J17" s="10"/>
      <c r="K17" s="10">
        <v>1286032.1424356201</v>
      </c>
      <c r="L17" s="3">
        <v>13</v>
      </c>
      <c r="M17" s="5">
        <v>4.12347E-12</v>
      </c>
      <c r="N17" s="3">
        <v>9.7000000000000003E-2</v>
      </c>
      <c r="O17" s="10"/>
      <c r="P17" s="10">
        <v>1286032.1424356101</v>
      </c>
      <c r="Q17" s="3">
        <v>13</v>
      </c>
      <c r="R17" s="5">
        <v>3.1612500000000001E-12</v>
      </c>
      <c r="S17" s="3">
        <v>0.109</v>
      </c>
      <c r="T17" s="10"/>
      <c r="U17" s="3"/>
      <c r="V17" s="10">
        <v>1286032.1424356101</v>
      </c>
      <c r="W17" s="3">
        <v>13</v>
      </c>
      <c r="X17" s="5">
        <v>3.0111800000000001E-12</v>
      </c>
      <c r="Y17" s="3">
        <v>0.112</v>
      </c>
      <c r="Z17" s="10"/>
      <c r="AA17" s="10">
        <v>1286032.1424356101</v>
      </c>
      <c r="AB17" s="3">
        <v>13</v>
      </c>
      <c r="AC17" s="1">
        <v>3.0111800000000001E-12</v>
      </c>
      <c r="AD17">
        <v>9.8000000000000004E-2</v>
      </c>
      <c r="AE17" s="10"/>
      <c r="AF17" s="10">
        <v>1286032.1424356201</v>
      </c>
      <c r="AG17">
        <v>13</v>
      </c>
      <c r="AH17" s="1">
        <v>9.1084999999999998E-12</v>
      </c>
      <c r="AI17">
        <v>0.109</v>
      </c>
      <c r="AJ17" s="10"/>
    </row>
    <row r="18" spans="1:37">
      <c r="A18" s="10">
        <v>1286032.1424356201</v>
      </c>
      <c r="B18">
        <v>14</v>
      </c>
      <c r="C18" s="5">
        <v>5.0040900000000003E-12</v>
      </c>
      <c r="D18" s="3">
        <v>0.125</v>
      </c>
      <c r="E18" s="10"/>
      <c r="F18" s="11">
        <v>1286032.1424356201</v>
      </c>
      <c r="G18" s="3">
        <v>14</v>
      </c>
      <c r="H18" s="5">
        <v>3.36152E-12</v>
      </c>
      <c r="I18" s="3">
        <v>0.11600000000000001</v>
      </c>
      <c r="J18" s="10"/>
      <c r="K18" s="10">
        <v>1286032.1424356201</v>
      </c>
      <c r="L18" s="3">
        <v>14</v>
      </c>
      <c r="M18" s="5">
        <v>1.7416E-12</v>
      </c>
      <c r="N18" s="3">
        <v>0.113</v>
      </c>
      <c r="O18" s="10"/>
      <c r="P18" s="10">
        <v>1286032.1424356101</v>
      </c>
      <c r="Q18" s="3">
        <v>14</v>
      </c>
      <c r="R18" s="5">
        <v>1.1078299999999999E-12</v>
      </c>
      <c r="S18" s="3">
        <v>0.126</v>
      </c>
      <c r="T18" s="10"/>
      <c r="U18" s="3"/>
      <c r="V18" s="10">
        <v>1286032.1424356101</v>
      </c>
      <c r="W18" s="3">
        <v>14</v>
      </c>
      <c r="X18" s="5">
        <v>1.04826E-12</v>
      </c>
      <c r="Y18" s="3">
        <v>0.128</v>
      </c>
      <c r="Z18" s="10"/>
      <c r="AA18" s="10">
        <v>1286032.1424356101</v>
      </c>
      <c r="AB18" s="3">
        <v>14</v>
      </c>
      <c r="AC18" s="1">
        <v>1.04826E-12</v>
      </c>
      <c r="AD18">
        <v>0.114</v>
      </c>
      <c r="AE18" s="10"/>
      <c r="AF18" s="10">
        <v>1286032.1424356201</v>
      </c>
      <c r="AG18">
        <v>14</v>
      </c>
      <c r="AH18" s="1">
        <v>5.0040900000000003E-12</v>
      </c>
      <c r="AI18">
        <v>0.122</v>
      </c>
      <c r="AJ18" s="10"/>
    </row>
    <row r="19" spans="1:37">
      <c r="A19" s="10">
        <v>1286032.1424356101</v>
      </c>
      <c r="B19">
        <v>15</v>
      </c>
      <c r="C19" s="5">
        <v>2.7439800000000002E-12</v>
      </c>
      <c r="D19" s="3">
        <v>0.125</v>
      </c>
      <c r="E19" s="10"/>
      <c r="F19" s="11">
        <v>1286032.1424356101</v>
      </c>
      <c r="G19" s="3">
        <v>15</v>
      </c>
      <c r="H19" s="5">
        <v>1.64466E-12</v>
      </c>
      <c r="I19" s="3">
        <v>0.13300000000000001</v>
      </c>
      <c r="J19" s="10"/>
      <c r="K19" s="10">
        <v>1286032.1424356201</v>
      </c>
      <c r="L19" s="3">
        <v>15</v>
      </c>
      <c r="M19" s="5">
        <v>3.3641400000000001E-13</v>
      </c>
      <c r="N19" s="3">
        <v>0.129</v>
      </c>
      <c r="O19" s="10"/>
      <c r="P19" s="10">
        <v>1286032.1424356101</v>
      </c>
      <c r="Q19" s="3">
        <v>15</v>
      </c>
      <c r="R19" s="5">
        <v>3.8971500000000002E-13</v>
      </c>
      <c r="S19" s="3">
        <v>0.14499999999999999</v>
      </c>
      <c r="T19" s="10"/>
      <c r="U19" s="3"/>
      <c r="V19" s="10">
        <v>1286032.1424356101</v>
      </c>
      <c r="W19" s="3">
        <v>15</v>
      </c>
      <c r="X19" s="5">
        <v>4.0092499999999998E-13</v>
      </c>
      <c r="Y19" s="3">
        <v>0.14399999999999999</v>
      </c>
      <c r="Z19" s="10"/>
      <c r="AA19" s="10">
        <v>1286032.1424356101</v>
      </c>
      <c r="AB19" s="3">
        <v>15</v>
      </c>
      <c r="AC19" s="1">
        <v>4.0092499999999998E-13</v>
      </c>
      <c r="AD19">
        <v>0.129</v>
      </c>
      <c r="AE19" s="10"/>
      <c r="AF19" s="10">
        <v>1286032.1424356101</v>
      </c>
      <c r="AG19">
        <v>15</v>
      </c>
      <c r="AH19" s="1">
        <v>2.7439800000000002E-12</v>
      </c>
      <c r="AI19" s="3">
        <v>0.13900000000000001</v>
      </c>
      <c r="AJ19" s="10"/>
    </row>
    <row r="20" spans="1:37">
      <c r="A20" s="10">
        <v>1286032.1424356101</v>
      </c>
      <c r="B20">
        <v>16</v>
      </c>
      <c r="C20" s="5">
        <v>1.5002799999999999E-12</v>
      </c>
      <c r="D20" s="3">
        <v>0.15</v>
      </c>
      <c r="E20" s="10"/>
      <c r="F20" s="11">
        <v>1286032.1424356101</v>
      </c>
      <c r="G20" s="3">
        <v>16</v>
      </c>
      <c r="H20" s="5">
        <v>8.0665E-13</v>
      </c>
      <c r="I20" s="3">
        <v>0.152</v>
      </c>
      <c r="J20" s="10"/>
      <c r="K20" s="3"/>
      <c r="L20" s="3"/>
      <c r="M20" s="5"/>
      <c r="N20" s="3"/>
      <c r="O20" s="10"/>
      <c r="P20" s="3"/>
      <c r="Q20" s="3"/>
      <c r="R20" s="3"/>
      <c r="S20" s="5"/>
      <c r="T20" s="10"/>
      <c r="U20" s="3"/>
      <c r="V20" s="3"/>
      <c r="W20" s="3"/>
      <c r="X20" s="5"/>
      <c r="Y20" s="3"/>
      <c r="Z20" s="10"/>
      <c r="AA20" s="3"/>
      <c r="AB20" s="3"/>
      <c r="AC20" s="1"/>
      <c r="AE20" s="10"/>
      <c r="AF20" s="10">
        <v>1286032.1424356101</v>
      </c>
      <c r="AG20">
        <v>16</v>
      </c>
      <c r="AH20" s="1">
        <v>1.5002799999999999E-12</v>
      </c>
      <c r="AI20">
        <v>0.155</v>
      </c>
      <c r="AJ20" s="10"/>
    </row>
    <row r="21" spans="1:37">
      <c r="A21" s="10">
        <v>1286032.1424356101</v>
      </c>
      <c r="B21">
        <v>17</v>
      </c>
      <c r="C21" s="1">
        <v>8.2288199999999997E-13</v>
      </c>
      <c r="D21">
        <v>0.16200000000000001</v>
      </c>
      <c r="E21" s="10"/>
      <c r="J21" s="10"/>
      <c r="M21" s="1"/>
      <c r="N21" s="2"/>
      <c r="O21" s="10"/>
      <c r="S21" s="1"/>
      <c r="T21" s="10"/>
      <c r="X21" s="1"/>
      <c r="Z21" s="10"/>
      <c r="AC21" s="1"/>
      <c r="AE21" s="10"/>
      <c r="AF21" s="10">
        <v>1286032.1424356101</v>
      </c>
      <c r="AG21">
        <v>17</v>
      </c>
      <c r="AH21" s="1">
        <v>8.2288199999999997E-13</v>
      </c>
      <c r="AI21">
        <v>0.157</v>
      </c>
      <c r="AJ21" s="10"/>
    </row>
    <row r="23" spans="1:37">
      <c r="C23" s="1"/>
      <c r="H23" s="1"/>
      <c r="I23" s="2"/>
      <c r="M23" s="1"/>
      <c r="X23" s="1"/>
      <c r="AC23" s="1"/>
      <c r="AE23" t="s">
        <v>2</v>
      </c>
    </row>
    <row r="24" spans="1:37">
      <c r="C24" s="1"/>
      <c r="H24" s="1"/>
      <c r="I24" s="2"/>
      <c r="M24" s="1"/>
      <c r="X24" s="1"/>
      <c r="AC24" s="1"/>
      <c r="AE24" t="s">
        <v>2</v>
      </c>
    </row>
    <row r="25" spans="1:37">
      <c r="C25" s="1"/>
      <c r="H25" s="1"/>
      <c r="I25" s="2"/>
      <c r="M25" s="1"/>
      <c r="X25" s="1"/>
      <c r="AC25" s="1"/>
      <c r="AE25" t="s">
        <v>2</v>
      </c>
    </row>
    <row r="26" spans="1:37">
      <c r="A26" s="15" t="s">
        <v>14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spans="1:37">
      <c r="A27" s="14" t="s">
        <v>13</v>
      </c>
      <c r="B27" s="14"/>
      <c r="C27" s="14"/>
      <c r="D27" s="14"/>
      <c r="F27" s="14" t="s">
        <v>8</v>
      </c>
      <c r="G27" s="14"/>
      <c r="H27" s="14"/>
      <c r="I27" s="14"/>
      <c r="K27" s="14" t="s">
        <v>9</v>
      </c>
      <c r="L27" s="14"/>
      <c r="M27" s="14"/>
      <c r="N27" s="14"/>
      <c r="Q27" s="14" t="s">
        <v>10</v>
      </c>
      <c r="R27" s="14"/>
      <c r="S27" s="14"/>
      <c r="T27" s="14"/>
      <c r="V27" s="14" t="s">
        <v>11</v>
      </c>
      <c r="W27" s="14"/>
      <c r="X27" s="14"/>
      <c r="Y27" s="14"/>
      <c r="AA27" s="14" t="s">
        <v>12</v>
      </c>
      <c r="AB27" s="14"/>
      <c r="AC27" s="14"/>
      <c r="AD27" s="14"/>
      <c r="AF27" s="14" t="s">
        <v>7</v>
      </c>
      <c r="AG27" s="14"/>
      <c r="AH27" s="14"/>
      <c r="AI27" s="14"/>
    </row>
    <row r="28" spans="1:37">
      <c r="A28" s="10" t="s">
        <v>5</v>
      </c>
      <c r="B28" s="9" t="s">
        <v>6</v>
      </c>
      <c r="C28" s="9" t="s">
        <v>0</v>
      </c>
      <c r="D28" s="9" t="s">
        <v>1</v>
      </c>
      <c r="E28" s="9"/>
      <c r="F28" s="10" t="s">
        <v>5</v>
      </c>
      <c r="G28" s="9" t="s">
        <v>6</v>
      </c>
      <c r="H28" s="9" t="s">
        <v>0</v>
      </c>
      <c r="I28" s="9" t="s">
        <v>1</v>
      </c>
      <c r="J28" s="9"/>
      <c r="K28" s="9" t="s">
        <v>5</v>
      </c>
      <c r="L28" s="9" t="s">
        <v>6</v>
      </c>
      <c r="M28" s="9" t="s">
        <v>0</v>
      </c>
      <c r="N28" s="9" t="s">
        <v>1</v>
      </c>
      <c r="O28" s="9"/>
      <c r="Q28" s="9" t="s">
        <v>5</v>
      </c>
      <c r="R28" s="9" t="s">
        <v>6</v>
      </c>
      <c r="S28" s="9" t="s">
        <v>0</v>
      </c>
      <c r="T28" s="9" t="s">
        <v>1</v>
      </c>
      <c r="U28" s="9"/>
      <c r="V28" s="9" t="s">
        <v>5</v>
      </c>
      <c r="W28" s="9" t="s">
        <v>6</v>
      </c>
      <c r="X28" s="9" t="s">
        <v>0</v>
      </c>
      <c r="Y28" s="9" t="s">
        <v>1</v>
      </c>
      <c r="Z28" s="9"/>
      <c r="AA28" s="9" t="s">
        <v>5</v>
      </c>
      <c r="AB28" s="9" t="s">
        <v>6</v>
      </c>
      <c r="AC28" s="9" t="s">
        <v>0</v>
      </c>
      <c r="AD28" s="9" t="s">
        <v>1</v>
      </c>
      <c r="AE28" s="9"/>
      <c r="AF28" s="9" t="s">
        <v>5</v>
      </c>
      <c r="AG28" s="9" t="s">
        <v>6</v>
      </c>
      <c r="AH28" s="9" t="s">
        <v>0</v>
      </c>
      <c r="AI28" s="9" t="s">
        <v>1</v>
      </c>
    </row>
    <row r="29" spans="1:37">
      <c r="A29" s="10">
        <v>35819126.2552763</v>
      </c>
      <c r="B29">
        <v>0</v>
      </c>
      <c r="C29">
        <v>0.83635351250000001</v>
      </c>
      <c r="D29">
        <v>3.2000064850000003E-2</v>
      </c>
      <c r="E29" s="9"/>
      <c r="F29" s="10">
        <v>35819126.2552763</v>
      </c>
      <c r="G29">
        <v>0</v>
      </c>
      <c r="H29">
        <v>0.83635351250000001</v>
      </c>
      <c r="I29">
        <v>4.2999982829999998E-2</v>
      </c>
      <c r="J29" s="9"/>
      <c r="K29" s="10">
        <v>35819126.2552763</v>
      </c>
      <c r="L29">
        <v>0</v>
      </c>
      <c r="M29">
        <v>0.83635351250000001</v>
      </c>
      <c r="N29">
        <v>3.8000106810000003E-2</v>
      </c>
      <c r="O29" s="9"/>
      <c r="Q29" s="10">
        <v>35819126.2552763</v>
      </c>
      <c r="R29">
        <v>0</v>
      </c>
      <c r="S29">
        <v>0.83635351250000001</v>
      </c>
      <c r="T29">
        <v>3.3999919890000001E-2</v>
      </c>
      <c r="U29" s="9"/>
      <c r="V29" s="10">
        <v>35819126.2552763</v>
      </c>
      <c r="W29">
        <v>0</v>
      </c>
      <c r="X29">
        <v>0.83635351250000001</v>
      </c>
      <c r="Y29">
        <v>3.400015831E-2</v>
      </c>
      <c r="Z29" s="9"/>
      <c r="AA29" s="10">
        <v>35819126.2552763</v>
      </c>
      <c r="AB29">
        <v>0</v>
      </c>
      <c r="AC29">
        <v>0.83635351250000001</v>
      </c>
      <c r="AD29">
        <v>4.90000248E-2</v>
      </c>
      <c r="AE29" s="9"/>
      <c r="AF29" s="10">
        <v>35819126.2552763</v>
      </c>
      <c r="AG29">
        <v>0</v>
      </c>
      <c r="AH29">
        <v>0.83635351250000001</v>
      </c>
      <c r="AI29">
        <v>4.6999931340000002E-2</v>
      </c>
      <c r="AJ29" s="10"/>
      <c r="AK29" s="10"/>
    </row>
    <row r="30" spans="1:37">
      <c r="A30" s="10">
        <v>17053582.115173899</v>
      </c>
      <c r="B30">
        <v>1</v>
      </c>
      <c r="C30">
        <v>3.3416689940000001E-2</v>
      </c>
      <c r="D30">
        <v>8.8999986650000001E-2</v>
      </c>
      <c r="E30" s="9"/>
      <c r="F30" s="10">
        <v>17027370.157862201</v>
      </c>
      <c r="G30">
        <v>1</v>
      </c>
      <c r="H30">
        <v>2.9557202500000001E-2</v>
      </c>
      <c r="I30">
        <v>8.8999986650000001E-2</v>
      </c>
      <c r="J30" s="9"/>
      <c r="K30" s="10">
        <v>17027370.157862201</v>
      </c>
      <c r="L30">
        <v>1</v>
      </c>
      <c r="M30">
        <v>2.9557202500000001E-2</v>
      </c>
      <c r="N30">
        <v>8.300018311E-2</v>
      </c>
      <c r="O30" s="9"/>
      <c r="Q30" s="10">
        <v>17027370.157862201</v>
      </c>
      <c r="R30">
        <v>1</v>
      </c>
      <c r="S30">
        <v>2.9557202500000001E-2</v>
      </c>
      <c r="T30">
        <v>9.2000007630000005E-2</v>
      </c>
      <c r="U30" s="9"/>
      <c r="V30" s="10">
        <v>17027370.157862201</v>
      </c>
      <c r="W30">
        <v>1</v>
      </c>
      <c r="X30">
        <v>2.9557202500000001E-2</v>
      </c>
      <c r="Y30">
        <v>8.5999965669999998E-2</v>
      </c>
      <c r="Z30" s="9"/>
      <c r="AA30" s="10">
        <v>17027370.157862201</v>
      </c>
      <c r="AB30">
        <v>1</v>
      </c>
      <c r="AC30">
        <v>2.9557202500000001E-2</v>
      </c>
      <c r="AD30">
        <v>0.1029999256</v>
      </c>
      <c r="AE30" s="9"/>
      <c r="AF30" s="10">
        <v>17053547.992481899</v>
      </c>
      <c r="AG30">
        <v>1</v>
      </c>
      <c r="AH30" s="1">
        <v>3.3418299999999998E-2</v>
      </c>
      <c r="AI30">
        <v>0.11</v>
      </c>
      <c r="AJ30" s="10"/>
      <c r="AK30" s="10"/>
    </row>
    <row r="31" spans="1:37">
      <c r="A31" s="10">
        <v>16832252.930028599</v>
      </c>
      <c r="B31">
        <v>2</v>
      </c>
      <c r="C31">
        <v>7.455493784E-3</v>
      </c>
      <c r="D31">
        <v>0.12199997899999999</v>
      </c>
      <c r="E31" s="9"/>
      <c r="F31" s="10">
        <v>16827051.066616401</v>
      </c>
      <c r="G31">
        <v>2</v>
      </c>
      <c r="H31">
        <v>6.3065272129999997E-3</v>
      </c>
      <c r="I31">
        <v>0.125</v>
      </c>
      <c r="J31" s="9"/>
      <c r="K31" s="10">
        <v>16826422.369289</v>
      </c>
      <c r="L31">
        <v>2</v>
      </c>
      <c r="M31">
        <v>6.1907508040000003E-3</v>
      </c>
      <c r="N31">
        <v>0.1160001755</v>
      </c>
      <c r="O31" s="9"/>
      <c r="Q31" s="10">
        <v>16826422.369289</v>
      </c>
      <c r="R31">
        <v>2</v>
      </c>
      <c r="S31">
        <v>6.1907508040000003E-3</v>
      </c>
      <c r="T31">
        <v>0.12699985499999999</v>
      </c>
      <c r="U31" s="9"/>
      <c r="V31" s="10">
        <v>16826422.369289</v>
      </c>
      <c r="W31">
        <v>2</v>
      </c>
      <c r="X31">
        <v>6.1907508040000003E-3</v>
      </c>
      <c r="Y31">
        <v>0.120000124</v>
      </c>
      <c r="Z31" s="9"/>
      <c r="AA31" s="10">
        <v>16826422.369289</v>
      </c>
      <c r="AB31">
        <v>2</v>
      </c>
      <c r="AC31">
        <v>6.1907508040000003E-3</v>
      </c>
      <c r="AD31">
        <v>0.135999918</v>
      </c>
      <c r="AE31" s="9"/>
      <c r="AF31" s="10">
        <v>16832481.460319102</v>
      </c>
      <c r="AG31">
        <v>2</v>
      </c>
      <c r="AH31" s="1">
        <v>7.5211200000000001E-3</v>
      </c>
      <c r="AI31">
        <v>0.16</v>
      </c>
      <c r="AJ31" s="10"/>
      <c r="AK31" s="10"/>
    </row>
    <row r="32" spans="1:37">
      <c r="A32" s="10">
        <v>16775218.8636682</v>
      </c>
      <c r="B32">
        <v>3</v>
      </c>
      <c r="C32">
        <v>2.3092519650000001E-3</v>
      </c>
      <c r="D32">
        <v>0.15300011629999999</v>
      </c>
      <c r="E32" s="9"/>
      <c r="F32" s="10">
        <v>16768213.3426848</v>
      </c>
      <c r="G32">
        <v>3</v>
      </c>
      <c r="H32">
        <v>1.6452444500000001E-3</v>
      </c>
      <c r="I32">
        <v>0.15999984740000001</v>
      </c>
      <c r="J32" s="9"/>
      <c r="K32" s="10">
        <v>16767807.5955624</v>
      </c>
      <c r="L32">
        <v>3</v>
      </c>
      <c r="M32">
        <v>1.628431082E-3</v>
      </c>
      <c r="N32">
        <v>0.15000009540000001</v>
      </c>
      <c r="O32" s="9"/>
      <c r="Q32" s="10">
        <v>16767766.663516801</v>
      </c>
      <c r="R32">
        <v>3</v>
      </c>
      <c r="S32">
        <v>1.6011777500000001E-3</v>
      </c>
      <c r="T32">
        <v>0.15999984740000001</v>
      </c>
      <c r="U32" s="9"/>
      <c r="V32" s="10">
        <v>16767766.663516801</v>
      </c>
      <c r="W32">
        <v>3</v>
      </c>
      <c r="X32">
        <v>1.6011777500000001E-3</v>
      </c>
      <c r="Y32">
        <v>0.15200018879999999</v>
      </c>
      <c r="Z32" s="9"/>
      <c r="AA32" s="10">
        <v>16767766.663516801</v>
      </c>
      <c r="AB32">
        <v>3</v>
      </c>
      <c r="AC32">
        <v>1.6011777500000001E-3</v>
      </c>
      <c r="AD32">
        <v>0.16899991040000001</v>
      </c>
      <c r="AE32" s="9"/>
      <c r="AF32" s="10">
        <v>16775725.1320778</v>
      </c>
      <c r="AG32">
        <v>3</v>
      </c>
      <c r="AH32" s="1">
        <v>2.3010700000000001E-3</v>
      </c>
      <c r="AI32">
        <v>0.20200000000000001</v>
      </c>
      <c r="AJ32" s="10"/>
      <c r="AK32" s="10"/>
    </row>
    <row r="33" spans="1:67">
      <c r="A33" s="10">
        <v>16757009.446407</v>
      </c>
      <c r="B33">
        <v>4</v>
      </c>
      <c r="C33">
        <v>8.8097773140000005E-4</v>
      </c>
      <c r="D33">
        <v>0.18499994280000001</v>
      </c>
      <c r="E33" s="9"/>
      <c r="F33" s="10">
        <v>16753594.7793188</v>
      </c>
      <c r="G33">
        <v>4</v>
      </c>
      <c r="H33">
        <v>5.4607451450000002E-4</v>
      </c>
      <c r="I33">
        <v>0.1949999332</v>
      </c>
      <c r="J33" s="9"/>
      <c r="K33" s="10">
        <v>16753410.859957799</v>
      </c>
      <c r="L33">
        <v>4</v>
      </c>
      <c r="M33">
        <v>5.3684999780000001E-4</v>
      </c>
      <c r="N33">
        <v>0.17900013919999999</v>
      </c>
      <c r="O33" s="9"/>
      <c r="Q33" s="10">
        <v>16753231.8491269</v>
      </c>
      <c r="R33">
        <v>4</v>
      </c>
      <c r="S33">
        <v>4.8016649540000002E-4</v>
      </c>
      <c r="T33">
        <v>0.1879999638</v>
      </c>
      <c r="U33" s="9"/>
      <c r="V33" s="10">
        <v>16753235.6250048</v>
      </c>
      <c r="W33">
        <v>4</v>
      </c>
      <c r="X33">
        <v>4.8281676490000001E-4</v>
      </c>
      <c r="Y33">
        <v>0.18400001530000001</v>
      </c>
      <c r="Z33" s="9"/>
      <c r="AA33" s="10">
        <v>16753235.6250048</v>
      </c>
      <c r="AB33">
        <v>4</v>
      </c>
      <c r="AC33">
        <v>4.8281676490000001E-4</v>
      </c>
      <c r="AD33">
        <v>0.20299983020000001</v>
      </c>
      <c r="AE33" s="9"/>
      <c r="AF33" s="10">
        <v>16758394.4411516</v>
      </c>
      <c r="AG33">
        <v>4</v>
      </c>
      <c r="AH33" s="1">
        <v>9.5218199999999998E-4</v>
      </c>
      <c r="AI33">
        <v>0.249</v>
      </c>
      <c r="AJ33" s="10"/>
      <c r="AK33" s="10"/>
    </row>
    <row r="34" spans="1:67">
      <c r="A34" s="10">
        <v>16749877.093669999</v>
      </c>
      <c r="B34">
        <v>5</v>
      </c>
      <c r="C34">
        <v>1.712330536E-4</v>
      </c>
      <c r="D34">
        <v>0.22000002860000001</v>
      </c>
      <c r="E34" s="9"/>
      <c r="F34" s="10">
        <v>16749301.9098539</v>
      </c>
      <c r="G34">
        <v>5</v>
      </c>
      <c r="H34">
        <v>1.246355106E-4</v>
      </c>
      <c r="I34">
        <v>0.22699999809999999</v>
      </c>
      <c r="J34" s="9"/>
      <c r="K34" s="10">
        <v>16749235.201210201</v>
      </c>
      <c r="L34">
        <v>5</v>
      </c>
      <c r="M34">
        <v>1.2431101370000001E-4</v>
      </c>
      <c r="N34">
        <v>0.21600008009999999</v>
      </c>
      <c r="O34" s="9"/>
      <c r="Q34" s="10">
        <v>16749153.178522199</v>
      </c>
      <c r="R34">
        <v>5</v>
      </c>
      <c r="S34">
        <v>1.072577E-4</v>
      </c>
      <c r="T34">
        <v>0.22799992559999999</v>
      </c>
      <c r="U34" s="9"/>
      <c r="V34" s="10">
        <v>16749101.8737705</v>
      </c>
      <c r="W34">
        <v>5</v>
      </c>
      <c r="X34">
        <v>1.119058733E-4</v>
      </c>
      <c r="Y34">
        <v>0.21900010110000001</v>
      </c>
      <c r="Z34" s="9"/>
      <c r="AA34" s="10">
        <v>16749103.756135499</v>
      </c>
      <c r="AB34">
        <v>5</v>
      </c>
      <c r="AC34">
        <v>1.1463170440000001E-4</v>
      </c>
      <c r="AD34">
        <v>0.23799991609999999</v>
      </c>
      <c r="AE34" s="9"/>
      <c r="AF34" s="10">
        <v>16750235.455844801</v>
      </c>
      <c r="AG34">
        <v>5</v>
      </c>
      <c r="AH34" s="1">
        <v>2.97044E-4</v>
      </c>
      <c r="AI34">
        <v>0.28499999999999998</v>
      </c>
      <c r="AJ34" s="10"/>
      <c r="AK34" s="10"/>
    </row>
    <row r="35" spans="1:67">
      <c r="A35" s="10">
        <v>16748696.859076099</v>
      </c>
      <c r="B35">
        <v>6</v>
      </c>
      <c r="C35" s="1">
        <v>4.1217651529999997E-5</v>
      </c>
      <c r="D35">
        <v>0.25100016590000002</v>
      </c>
      <c r="E35" s="9"/>
      <c r="F35" s="10">
        <v>16748588.923749</v>
      </c>
      <c r="G35">
        <v>6</v>
      </c>
      <c r="H35" s="1">
        <v>3.5640015289999997E-5</v>
      </c>
      <c r="I35">
        <v>0.25900006289999999</v>
      </c>
      <c r="J35" s="9"/>
      <c r="K35" s="10">
        <v>16748513.1259584</v>
      </c>
      <c r="L35">
        <v>6</v>
      </c>
      <c r="M35" s="1">
        <v>3.1800673849999997E-5</v>
      </c>
      <c r="N35">
        <v>0.25400018689999998</v>
      </c>
      <c r="O35" s="9"/>
      <c r="Q35" s="10">
        <v>16748512.5935091</v>
      </c>
      <c r="R35">
        <v>6</v>
      </c>
      <c r="S35" s="1">
        <v>3.2587433259999998E-5</v>
      </c>
      <c r="T35">
        <v>0.26999998089999999</v>
      </c>
      <c r="U35" s="9"/>
      <c r="V35" s="10">
        <v>16748518.5309985</v>
      </c>
      <c r="W35">
        <v>6</v>
      </c>
      <c r="X35" s="1">
        <v>3.9152516750000002E-5</v>
      </c>
      <c r="Y35">
        <v>0.2599999905</v>
      </c>
      <c r="Z35" s="9"/>
      <c r="AA35" s="10">
        <v>16748519.5819824</v>
      </c>
      <c r="AB35">
        <v>6</v>
      </c>
      <c r="AC35" s="1">
        <v>2.8332300720000001E-5</v>
      </c>
      <c r="AD35">
        <v>0.27899980549999998</v>
      </c>
      <c r="AE35" s="9"/>
      <c r="AF35" s="10">
        <v>16748718.5136749</v>
      </c>
      <c r="AG35">
        <v>6</v>
      </c>
      <c r="AH35" s="1">
        <v>5.05677E-5</v>
      </c>
      <c r="AI35">
        <v>0.33400000000000002</v>
      </c>
      <c r="AJ35" s="10"/>
      <c r="AK35" s="10"/>
    </row>
    <row r="36" spans="1:67">
      <c r="A36" s="10">
        <v>16748472.8153894</v>
      </c>
      <c r="B36">
        <v>7</v>
      </c>
      <c r="C36" s="1">
        <v>1.7272889830000001E-5</v>
      </c>
      <c r="D36">
        <v>0.29100012780000001</v>
      </c>
      <c r="E36" s="9"/>
      <c r="F36" s="10">
        <v>16748446.650952</v>
      </c>
      <c r="G36">
        <v>7</v>
      </c>
      <c r="H36" s="1">
        <v>5.363615778E-6</v>
      </c>
      <c r="I36">
        <v>0.29399991040000001</v>
      </c>
      <c r="J36" s="9"/>
      <c r="K36" s="10">
        <v>16748442.452348201</v>
      </c>
      <c r="L36">
        <v>7</v>
      </c>
      <c r="M36" s="1">
        <v>3.3888457409999999E-6</v>
      </c>
      <c r="N36">
        <v>0.28800010679999999</v>
      </c>
      <c r="O36" s="9"/>
      <c r="Q36" s="10">
        <v>16748441.6694973</v>
      </c>
      <c r="R36">
        <v>7</v>
      </c>
      <c r="S36" s="1">
        <v>4.4944374070000004E-6</v>
      </c>
      <c r="T36">
        <v>0.3029999733</v>
      </c>
      <c r="U36" s="9"/>
      <c r="V36" s="10">
        <v>16748442.7512863</v>
      </c>
      <c r="W36">
        <v>7</v>
      </c>
      <c r="X36" s="1">
        <v>6.3817502859999999E-6</v>
      </c>
      <c r="Y36">
        <v>0.29400014880000003</v>
      </c>
      <c r="Z36" s="9"/>
      <c r="AA36" s="10">
        <v>16748442.210947599</v>
      </c>
      <c r="AB36">
        <v>7</v>
      </c>
      <c r="AC36" s="1">
        <v>5.159293997E-6</v>
      </c>
      <c r="AD36">
        <v>0.3129999638</v>
      </c>
      <c r="AE36" s="9"/>
      <c r="AF36" s="10">
        <v>16748460.693542</v>
      </c>
      <c r="AG36">
        <v>7</v>
      </c>
      <c r="AH36" s="1">
        <v>1.2298499999999999E-5</v>
      </c>
      <c r="AI36">
        <v>0.376</v>
      </c>
      <c r="AJ36" s="10"/>
      <c r="AK36" s="10"/>
    </row>
    <row r="37" spans="1:67">
      <c r="A37" s="10">
        <v>16748442.630353499</v>
      </c>
      <c r="B37">
        <v>8</v>
      </c>
      <c r="C37" s="1">
        <v>1.49371772E-5</v>
      </c>
      <c r="D37">
        <v>0.32299995419999999</v>
      </c>
      <c r="E37" s="9"/>
      <c r="F37" s="10">
        <v>16748438.758864401</v>
      </c>
      <c r="G37">
        <v>8</v>
      </c>
      <c r="H37" s="1">
        <v>9.8073662650000002E-7</v>
      </c>
      <c r="I37">
        <v>0.33099985119999997</v>
      </c>
      <c r="J37" s="9"/>
      <c r="K37" s="10">
        <v>16748438.640750799</v>
      </c>
      <c r="L37">
        <v>8</v>
      </c>
      <c r="M37" s="1">
        <v>6.278430336E-7</v>
      </c>
      <c r="N37">
        <v>0.32599997520000001</v>
      </c>
      <c r="O37" s="9"/>
      <c r="Q37" s="10">
        <v>16748438.697247099</v>
      </c>
      <c r="R37">
        <v>8</v>
      </c>
      <c r="S37" s="1">
        <v>8.4625544330000001E-7</v>
      </c>
      <c r="T37">
        <v>0.33899998660000003</v>
      </c>
      <c r="U37" s="9"/>
      <c r="V37" s="10">
        <v>16748438.757929901</v>
      </c>
      <c r="W37">
        <v>8</v>
      </c>
      <c r="X37" s="1">
        <v>1.0243158259999999E-6</v>
      </c>
      <c r="Y37">
        <v>0.32800006869999998</v>
      </c>
      <c r="Z37" s="9"/>
      <c r="AA37" s="10">
        <v>16748438.7367892</v>
      </c>
      <c r="AB37">
        <v>8</v>
      </c>
      <c r="AC37" s="1">
        <v>9.0201482960000003E-7</v>
      </c>
      <c r="AD37">
        <v>0.34999990460000002</v>
      </c>
      <c r="AE37" s="9"/>
      <c r="AF37" s="10">
        <v>16748438.9690412</v>
      </c>
      <c r="AG37">
        <v>8</v>
      </c>
      <c r="AH37" s="1">
        <v>1.9086299999999998E-6</v>
      </c>
      <c r="AI37">
        <v>0.42199999999999999</v>
      </c>
      <c r="AJ37" s="10"/>
      <c r="AK37" s="10"/>
    </row>
    <row r="38" spans="1:67">
      <c r="A38" s="10">
        <v>16748438.780080499</v>
      </c>
      <c r="B38">
        <v>9</v>
      </c>
      <c r="C38" s="1">
        <v>1.3199744960000001E-6</v>
      </c>
      <c r="D38">
        <v>0.35500001910000001</v>
      </c>
      <c r="E38" s="9"/>
      <c r="F38" s="10">
        <v>16748438.6069437</v>
      </c>
      <c r="G38">
        <v>9</v>
      </c>
      <c r="H38" s="1">
        <v>2.398158622E-7</v>
      </c>
      <c r="I38">
        <v>0.36899995800000002</v>
      </c>
      <c r="J38" s="9"/>
      <c r="K38" s="10">
        <v>16748438.6011247</v>
      </c>
      <c r="L38">
        <v>9</v>
      </c>
      <c r="M38" s="1">
        <v>1.1729659960000001E-7</v>
      </c>
      <c r="N38">
        <v>0.36199998859999999</v>
      </c>
      <c r="O38" s="9"/>
      <c r="Q38" s="10">
        <v>16748438.6077218</v>
      </c>
      <c r="R38">
        <v>9</v>
      </c>
      <c r="S38" s="1">
        <v>3.4884080029999999E-7</v>
      </c>
      <c r="T38">
        <v>0.3759999275</v>
      </c>
      <c r="U38" s="9"/>
      <c r="V38" s="10">
        <v>16748438.6185329</v>
      </c>
      <c r="W38">
        <v>9</v>
      </c>
      <c r="X38" s="1">
        <v>2.21466895E-7</v>
      </c>
      <c r="Y38">
        <v>0.3650000095</v>
      </c>
      <c r="Z38" s="9"/>
      <c r="AA38" s="10">
        <v>16748438.607053</v>
      </c>
      <c r="AB38">
        <v>9</v>
      </c>
      <c r="AC38" s="1">
        <v>2.073409973E-7</v>
      </c>
      <c r="AD38">
        <v>0.38699984549999999</v>
      </c>
      <c r="AE38" s="9"/>
      <c r="AF38" s="10">
        <v>16748438.628514299</v>
      </c>
      <c r="AG38">
        <v>9</v>
      </c>
      <c r="AH38" s="1">
        <v>1.59555E-7</v>
      </c>
      <c r="AI38">
        <v>0.48099999999999998</v>
      </c>
      <c r="AJ38" s="10"/>
      <c r="AK38" s="10"/>
      <c r="AX38" s="9"/>
      <c r="AY38" s="9"/>
      <c r="AZ38" s="1"/>
      <c r="BA38" s="9"/>
      <c r="BB38" s="9"/>
      <c r="BC38" s="9"/>
      <c r="BD38" s="9"/>
      <c r="BE38" s="1"/>
      <c r="BF38" s="9"/>
      <c r="BG38" s="9"/>
      <c r="BH38" s="9"/>
      <c r="BI38" s="9"/>
      <c r="BJ38" s="1"/>
      <c r="BK38" s="9"/>
      <c r="BL38" s="9"/>
      <c r="BM38" s="9"/>
      <c r="BN38" s="9"/>
      <c r="BO38" s="9"/>
    </row>
    <row r="39" spans="1:67">
      <c r="A39" s="10">
        <v>16748438.6037629</v>
      </c>
      <c r="B39">
        <v>10</v>
      </c>
      <c r="C39" s="1">
        <v>2.3619815279999999E-7</v>
      </c>
      <c r="D39">
        <v>0.41199994089999997</v>
      </c>
      <c r="E39" s="9"/>
      <c r="F39" s="10">
        <v>16748438.6519238</v>
      </c>
      <c r="G39">
        <v>10</v>
      </c>
      <c r="H39" s="1">
        <v>5.628433799E-8</v>
      </c>
      <c r="I39">
        <v>0.43099999430000002</v>
      </c>
      <c r="J39" s="9"/>
      <c r="K39" s="10">
        <v>16748438.6000834</v>
      </c>
      <c r="L39">
        <v>10</v>
      </c>
      <c r="M39" s="1">
        <v>2.9384545489999999E-8</v>
      </c>
      <c r="N39">
        <v>0.40000009539999998</v>
      </c>
      <c r="O39" s="9"/>
      <c r="Q39" s="10">
        <v>16748438.601190001</v>
      </c>
      <c r="R39">
        <v>10</v>
      </c>
      <c r="S39" s="1">
        <v>5.8389989080000001E-8</v>
      </c>
      <c r="T39">
        <v>0.40999984740000001</v>
      </c>
      <c r="U39" s="9"/>
      <c r="V39" s="10">
        <v>16748438.609133</v>
      </c>
      <c r="W39">
        <v>10</v>
      </c>
      <c r="X39" s="1">
        <v>6.2416616479999998E-8</v>
      </c>
      <c r="Y39">
        <v>0.4350001812</v>
      </c>
      <c r="Z39" s="9"/>
      <c r="AA39" s="10">
        <v>16748438.6004746</v>
      </c>
      <c r="AB39">
        <v>10</v>
      </c>
      <c r="AC39" s="1">
        <v>2.9414082009999999E-8</v>
      </c>
      <c r="AD39">
        <v>0.42499995229999998</v>
      </c>
      <c r="AE39" s="9"/>
      <c r="AF39" s="10">
        <v>16748438.628514299</v>
      </c>
      <c r="AG39">
        <v>10</v>
      </c>
      <c r="AH39" s="1">
        <v>3.9195699999999999E-7</v>
      </c>
      <c r="AI39">
        <v>0.60399999999999998</v>
      </c>
      <c r="AJ39" s="10"/>
      <c r="AK39" s="10"/>
      <c r="AX39" s="9"/>
      <c r="AY39" s="9"/>
      <c r="AZ39" s="1"/>
      <c r="BA39" s="9"/>
      <c r="BB39" s="9"/>
      <c r="BC39" s="9"/>
      <c r="BD39" s="9"/>
      <c r="BE39" s="1"/>
      <c r="BF39" s="9"/>
      <c r="BG39" s="9"/>
      <c r="BH39" s="9"/>
      <c r="BI39" s="9"/>
      <c r="BJ39" s="1"/>
      <c r="BK39" s="9"/>
      <c r="BL39" s="9"/>
      <c r="BM39" s="9"/>
      <c r="BN39" s="9"/>
      <c r="BO39" s="9"/>
    </row>
    <row r="40" spans="1:67">
      <c r="A40" s="10">
        <v>16748438.6037629</v>
      </c>
      <c r="B40">
        <v>11</v>
      </c>
      <c r="C40" s="1">
        <v>2.3619815279999999E-7</v>
      </c>
      <c r="D40">
        <v>0.48500013349999999</v>
      </c>
      <c r="E40" s="9"/>
      <c r="F40" s="10">
        <v>16748438.600058701</v>
      </c>
      <c r="G40">
        <v>11</v>
      </c>
      <c r="H40" s="1">
        <v>4.0428900290000001E-9</v>
      </c>
      <c r="I40">
        <v>0.58299994470000005</v>
      </c>
      <c r="J40" s="9"/>
      <c r="K40" s="10">
        <v>16748438.600013601</v>
      </c>
      <c r="L40">
        <v>11</v>
      </c>
      <c r="M40" s="1">
        <v>5.5751571039999997E-9</v>
      </c>
      <c r="N40">
        <v>0.43400001529999999</v>
      </c>
      <c r="O40" s="9"/>
      <c r="Q40" s="10">
        <v>16748438.6000813</v>
      </c>
      <c r="R40">
        <v>11</v>
      </c>
      <c r="S40" s="1">
        <v>1.1050723159999999E-8</v>
      </c>
      <c r="T40">
        <v>0.44899988169999999</v>
      </c>
      <c r="U40" s="9"/>
      <c r="V40" s="10">
        <v>16748438.6000508</v>
      </c>
      <c r="W40">
        <v>11</v>
      </c>
      <c r="X40" s="1">
        <v>1.17966103E-8</v>
      </c>
      <c r="Y40">
        <v>0.47500014309999999</v>
      </c>
      <c r="Z40" s="9"/>
      <c r="AA40" s="10">
        <v>16748438.600026401</v>
      </c>
      <c r="AB40">
        <v>11</v>
      </c>
      <c r="AC40" s="1">
        <v>6.8248565219999996E-9</v>
      </c>
      <c r="AD40">
        <v>0.46899986269999999</v>
      </c>
      <c r="AE40" s="9"/>
      <c r="AF40" s="10">
        <v>16748438.616457401</v>
      </c>
      <c r="AG40">
        <v>11</v>
      </c>
      <c r="AH40" s="1">
        <v>6.6429900000000001E-8</v>
      </c>
      <c r="AI40">
        <v>0.67200000000000004</v>
      </c>
      <c r="AJ40" s="10"/>
      <c r="AK40" s="10"/>
      <c r="AX40" s="9"/>
      <c r="AY40" s="9"/>
      <c r="AZ40" s="1"/>
      <c r="BA40" s="9"/>
      <c r="BB40" s="9"/>
      <c r="BC40" s="9"/>
      <c r="BD40" s="9"/>
      <c r="BE40" s="1"/>
      <c r="BF40" s="9"/>
      <c r="BG40" s="9"/>
      <c r="BH40" s="9"/>
      <c r="BI40" s="9"/>
      <c r="BJ40" s="1"/>
      <c r="BK40" s="9"/>
      <c r="BL40" s="9"/>
      <c r="BM40" s="9"/>
      <c r="BN40" s="9"/>
      <c r="BO40" s="9"/>
    </row>
    <row r="41" spans="1:67">
      <c r="A41" s="10">
        <v>16748438.6037629</v>
      </c>
      <c r="B41">
        <v>12</v>
      </c>
      <c r="C41" s="1">
        <v>2.3619815279999999E-7</v>
      </c>
      <c r="D41">
        <v>0.51500010490000003</v>
      </c>
      <c r="E41" s="9"/>
      <c r="F41" s="10">
        <v>16748438.6000116</v>
      </c>
      <c r="G41">
        <v>12</v>
      </c>
      <c r="H41" s="1">
        <v>2.374835742E-9</v>
      </c>
      <c r="I41">
        <v>0.62299990650000003</v>
      </c>
      <c r="J41" s="9"/>
      <c r="K41" s="10">
        <v>16748438.6000106</v>
      </c>
      <c r="L41">
        <v>12</v>
      </c>
      <c r="M41" s="1">
        <v>7.9975324599999998E-10</v>
      </c>
      <c r="N41">
        <v>0.47000002860000001</v>
      </c>
      <c r="O41" s="9"/>
      <c r="Q41" s="10">
        <v>16748438.6000131</v>
      </c>
      <c r="R41">
        <v>12</v>
      </c>
      <c r="S41" s="1">
        <v>2.413315498E-9</v>
      </c>
      <c r="T41">
        <v>0.48899984359999998</v>
      </c>
      <c r="U41" s="9"/>
      <c r="V41" s="10">
        <v>16748438.600013399</v>
      </c>
      <c r="W41">
        <v>12</v>
      </c>
      <c r="X41" s="1">
        <v>3.5365897129999999E-9</v>
      </c>
      <c r="Y41">
        <v>0.51600003240000003</v>
      </c>
      <c r="Z41" s="9"/>
      <c r="AA41" s="10">
        <v>16748438.600012399</v>
      </c>
      <c r="AB41">
        <v>12</v>
      </c>
      <c r="AC41" s="1">
        <v>1.6751217170000001E-9</v>
      </c>
      <c r="AD41">
        <v>0.50899982450000003</v>
      </c>
      <c r="AE41" s="9"/>
      <c r="AF41" s="10">
        <v>16748438.6002234</v>
      </c>
      <c r="AG41">
        <v>12</v>
      </c>
      <c r="AH41" s="1">
        <v>5.7682900000000002E-8</v>
      </c>
      <c r="AI41">
        <v>0.72199999999999998</v>
      </c>
      <c r="AJ41" s="10"/>
      <c r="AK41" s="10"/>
      <c r="AY41" s="4"/>
      <c r="AZ41" s="4"/>
      <c r="BA41" s="4"/>
      <c r="BB41" s="4"/>
      <c r="BD41" s="4"/>
      <c r="BE41" s="4"/>
      <c r="BF41" s="4"/>
      <c r="BG41" s="4"/>
      <c r="BI41" s="4"/>
      <c r="BJ41" s="4"/>
      <c r="BK41" s="4"/>
      <c r="BL41" s="4"/>
    </row>
    <row r="42" spans="1:67">
      <c r="A42" s="10">
        <v>16748438.6037629</v>
      </c>
      <c r="B42">
        <v>13</v>
      </c>
      <c r="C42" s="1">
        <v>2.3619815279999999E-7</v>
      </c>
      <c r="D42">
        <v>0.54699993130000002</v>
      </c>
      <c r="E42" s="9"/>
      <c r="F42" s="10">
        <v>16748438.979883401</v>
      </c>
      <c r="G42">
        <v>13</v>
      </c>
      <c r="H42" s="1">
        <v>2.374835742E-9</v>
      </c>
      <c r="I42">
        <v>0.96300005909999997</v>
      </c>
      <c r="J42" s="9"/>
      <c r="K42" s="10">
        <v>16748438.600010499</v>
      </c>
      <c r="L42">
        <v>13</v>
      </c>
      <c r="M42" s="1">
        <v>1.11217994E-10</v>
      </c>
      <c r="N42">
        <v>0.51600003240000003</v>
      </c>
      <c r="O42" s="9"/>
      <c r="Q42" s="10">
        <v>16748438.600010701</v>
      </c>
      <c r="R42">
        <v>13</v>
      </c>
      <c r="S42" s="1">
        <v>1.0737045179999999E-9</v>
      </c>
      <c r="T42">
        <v>0.52999997139999999</v>
      </c>
      <c r="U42" s="9"/>
      <c r="V42" s="10">
        <v>16748438.600010799</v>
      </c>
      <c r="W42">
        <v>13</v>
      </c>
      <c r="X42" s="1">
        <v>1.091278056E-9</v>
      </c>
      <c r="Y42">
        <v>0.55299997329999995</v>
      </c>
      <c r="Z42" s="9"/>
      <c r="AA42" s="10">
        <v>16748438.6000106</v>
      </c>
      <c r="AB42">
        <v>13</v>
      </c>
      <c r="AC42" s="1">
        <v>4.8562526390000003E-10</v>
      </c>
      <c r="AD42">
        <v>0.55399990079999994</v>
      </c>
      <c r="AE42" s="9"/>
      <c r="AF42" s="10">
        <v>16748438.6001231</v>
      </c>
      <c r="AG42">
        <v>13</v>
      </c>
      <c r="AH42" s="1">
        <v>1.5597000000000001E-8</v>
      </c>
      <c r="AI42">
        <v>0.76800000000000002</v>
      </c>
      <c r="AJ42" s="10"/>
      <c r="AK42" s="10"/>
      <c r="AY42" s="4"/>
      <c r="AZ42" s="4"/>
      <c r="BA42" s="1"/>
      <c r="BB42" s="4"/>
      <c r="BD42" s="4"/>
      <c r="BE42" s="4"/>
      <c r="BF42" s="1"/>
      <c r="BG42" s="4"/>
      <c r="BI42" s="4"/>
      <c r="BJ42" s="4"/>
      <c r="BK42" s="1"/>
      <c r="BL42" s="4"/>
    </row>
    <row r="43" spans="1:67">
      <c r="A43" s="10">
        <v>16748438.6037629</v>
      </c>
      <c r="B43">
        <v>14</v>
      </c>
      <c r="C43" s="1">
        <v>2.3619815279999999E-7</v>
      </c>
      <c r="D43">
        <v>0.58000016210000005</v>
      </c>
      <c r="E43" s="9"/>
      <c r="F43" s="10">
        <v>16748438.6746055</v>
      </c>
      <c r="G43">
        <v>14</v>
      </c>
      <c r="H43" s="1">
        <v>2.374835742E-9</v>
      </c>
      <c r="I43">
        <v>1.009000063</v>
      </c>
      <c r="J43" s="9"/>
      <c r="K43" s="10">
        <v>16748438.600010499</v>
      </c>
      <c r="L43">
        <v>14</v>
      </c>
      <c r="M43" s="1">
        <v>2.0675901199999999E-11</v>
      </c>
      <c r="N43">
        <v>0.55900001529999999</v>
      </c>
      <c r="O43" s="9"/>
      <c r="Q43" s="10">
        <v>16748438.600010499</v>
      </c>
      <c r="R43">
        <v>14</v>
      </c>
      <c r="S43" s="1">
        <v>2.3724842420000002E-10</v>
      </c>
      <c r="T43">
        <v>0.56999993319999998</v>
      </c>
      <c r="U43" s="9"/>
      <c r="V43" s="10">
        <v>16748438.600010499</v>
      </c>
      <c r="W43">
        <v>14</v>
      </c>
      <c r="X43" s="1">
        <v>2.5627456590000001E-10</v>
      </c>
      <c r="Y43">
        <v>0.58899998659999997</v>
      </c>
      <c r="Z43" s="9"/>
      <c r="AA43" s="10">
        <v>16748438.600010499</v>
      </c>
      <c r="AB43">
        <v>14</v>
      </c>
      <c r="AC43" s="1">
        <v>1.2161818809999999E-10</v>
      </c>
      <c r="AD43">
        <v>0.59899997709999997</v>
      </c>
      <c r="AE43" s="9"/>
      <c r="AF43" s="10">
        <v>16748438.6001231</v>
      </c>
      <c r="AG43">
        <v>14</v>
      </c>
      <c r="AH43" s="1">
        <v>1.5597000000000001E-8</v>
      </c>
      <c r="AI43">
        <v>0.85</v>
      </c>
      <c r="AJ43" s="10"/>
      <c r="AK43" s="10"/>
      <c r="AY43" s="4"/>
      <c r="AZ43" s="4"/>
      <c r="BA43" s="1"/>
      <c r="BB43" s="4"/>
      <c r="BD43" s="4"/>
      <c r="BE43" s="4"/>
      <c r="BF43" s="1"/>
      <c r="BG43" s="4"/>
      <c r="BI43" s="4"/>
      <c r="BJ43" s="4"/>
      <c r="BK43" s="1"/>
      <c r="BL43" s="4"/>
    </row>
    <row r="44" spans="1:67">
      <c r="A44" s="10">
        <v>16748438.6016305</v>
      </c>
      <c r="B44">
        <v>15</v>
      </c>
      <c r="C44" s="1">
        <v>1.108993914E-7</v>
      </c>
      <c r="D44">
        <v>0.61000013350000004</v>
      </c>
      <c r="E44" s="9"/>
      <c r="F44" s="10">
        <v>16748438.6000116</v>
      </c>
      <c r="G44">
        <v>15</v>
      </c>
      <c r="H44" s="1">
        <v>2.374835742E-9</v>
      </c>
      <c r="I44">
        <v>1.090999842</v>
      </c>
      <c r="J44" s="9"/>
      <c r="K44" s="10">
        <v>16748438.600010499</v>
      </c>
      <c r="L44">
        <v>15</v>
      </c>
      <c r="M44" s="1">
        <v>3.1608510840000001E-12</v>
      </c>
      <c r="N44">
        <v>0.60600018499999997</v>
      </c>
      <c r="O44" s="9"/>
      <c r="Q44" s="10">
        <v>16748438.600010499</v>
      </c>
      <c r="R44">
        <v>15</v>
      </c>
      <c r="S44" s="1">
        <v>1.145788094E-10</v>
      </c>
      <c r="T44">
        <v>0.61599993710000001</v>
      </c>
      <c r="U44" s="9"/>
      <c r="V44" s="10">
        <v>16748438.600010499</v>
      </c>
      <c r="W44">
        <v>15</v>
      </c>
      <c r="X44" s="1">
        <v>1.039173805E-10</v>
      </c>
      <c r="Y44">
        <v>0.63400006289999999</v>
      </c>
      <c r="Z44" s="9"/>
      <c r="AA44" s="10">
        <v>16748438.600010499</v>
      </c>
      <c r="AB44">
        <v>15</v>
      </c>
      <c r="AC44" s="1">
        <v>4.5191251459999998E-11</v>
      </c>
      <c r="AD44">
        <v>0.64999985689999995</v>
      </c>
      <c r="AE44" s="9"/>
      <c r="AF44" s="10">
        <v>16748438.6001231</v>
      </c>
      <c r="AG44">
        <v>15</v>
      </c>
      <c r="AH44" s="1">
        <v>1.5597000000000001E-8</v>
      </c>
      <c r="AI44">
        <v>0.88500000000000001</v>
      </c>
      <c r="AJ44" s="10"/>
      <c r="AK44" s="10"/>
      <c r="AY44" s="4"/>
      <c r="AZ44" s="4"/>
      <c r="BA44" s="1"/>
      <c r="BB44" s="4"/>
      <c r="BD44" s="4"/>
      <c r="BE44" s="4"/>
      <c r="BF44" s="1"/>
      <c r="BG44" s="4"/>
      <c r="BI44" s="4"/>
      <c r="BJ44" s="4"/>
      <c r="BK44" s="1"/>
      <c r="BL44" s="4"/>
    </row>
    <row r="45" spans="1:67">
      <c r="A45" s="10">
        <v>16748438.600110101</v>
      </c>
      <c r="B45">
        <v>16</v>
      </c>
      <c r="C45" s="1">
        <v>2.6549835169999999E-8</v>
      </c>
      <c r="D45">
        <v>0.64199995990000003</v>
      </c>
      <c r="E45" s="9"/>
      <c r="F45" s="10">
        <v>16748438.6000116</v>
      </c>
      <c r="G45">
        <v>16</v>
      </c>
      <c r="H45" s="1">
        <v>2.374835742E-9</v>
      </c>
      <c r="I45">
        <v>1.1219999789999999</v>
      </c>
      <c r="J45" s="9"/>
      <c r="K45" s="10">
        <v>16748438.600010499</v>
      </c>
      <c r="L45">
        <v>16</v>
      </c>
      <c r="M45" s="1">
        <v>6.3057203769999997E-13</v>
      </c>
      <c r="N45">
        <v>0.65100002290000003</v>
      </c>
      <c r="O45" s="9"/>
      <c r="Q45" s="10">
        <v>16748438.600010499</v>
      </c>
      <c r="R45">
        <v>16</v>
      </c>
      <c r="S45" s="1">
        <v>2.4864478209999999E-11</v>
      </c>
      <c r="T45">
        <v>0.65699982639999999</v>
      </c>
      <c r="U45" s="9"/>
      <c r="V45" s="10">
        <v>16748438.600010499</v>
      </c>
      <c r="W45">
        <v>16</v>
      </c>
      <c r="X45" s="1">
        <v>2.9849768489999998E-11</v>
      </c>
      <c r="Y45">
        <v>0.68000006680000002</v>
      </c>
      <c r="Z45" s="9"/>
      <c r="AA45" s="10">
        <v>16748438.600010499</v>
      </c>
      <c r="AB45">
        <v>16</v>
      </c>
      <c r="AC45" s="1">
        <v>1.6008175089999998E-11</v>
      </c>
      <c r="AD45">
        <v>0.68999981880000005</v>
      </c>
      <c r="AE45" s="9"/>
      <c r="AF45" s="10">
        <v>16748438.6000224</v>
      </c>
      <c r="AG45">
        <v>16</v>
      </c>
      <c r="AH45" s="1">
        <v>1.3346300000000001E-8</v>
      </c>
      <c r="AI45">
        <v>0.96799999999999997</v>
      </c>
      <c r="AJ45" s="10"/>
      <c r="AK45" s="10"/>
      <c r="AY45" s="4"/>
      <c r="AZ45" s="4"/>
      <c r="BA45" s="1"/>
      <c r="BB45" s="4"/>
      <c r="BD45" s="4"/>
      <c r="BE45" s="4"/>
      <c r="BF45" s="1"/>
      <c r="BG45" s="4"/>
      <c r="BI45" s="4"/>
      <c r="BJ45" s="4"/>
      <c r="BK45" s="1"/>
      <c r="BL45" s="4"/>
    </row>
    <row r="46" spans="1:67">
      <c r="A46" s="10">
        <v>16748438.600110101</v>
      </c>
      <c r="B46">
        <v>17</v>
      </c>
      <c r="C46" s="1">
        <v>2.6549835169999999E-8</v>
      </c>
      <c r="D46">
        <v>0.90700006479999995</v>
      </c>
      <c r="E46" s="9"/>
      <c r="F46" s="10">
        <v>16748438.6000116</v>
      </c>
      <c r="G46">
        <v>17</v>
      </c>
      <c r="H46" s="1">
        <v>2.374835742E-9</v>
      </c>
      <c r="I46">
        <v>1.1529998779999999</v>
      </c>
      <c r="J46" s="9"/>
      <c r="O46" s="9"/>
      <c r="Q46" s="10">
        <v>16748438.600010499</v>
      </c>
      <c r="R46">
        <v>17</v>
      </c>
      <c r="S46" s="1">
        <v>1.1607514700000001E-11</v>
      </c>
      <c r="T46">
        <v>0.70199990270000001</v>
      </c>
      <c r="U46" s="9"/>
      <c r="V46" s="10">
        <v>16748438.600010499</v>
      </c>
      <c r="W46">
        <v>17</v>
      </c>
      <c r="X46" s="1">
        <v>1.2713649850000001E-11</v>
      </c>
      <c r="Y46">
        <v>0.72500014310000005</v>
      </c>
      <c r="Z46" s="9"/>
      <c r="AA46" s="10">
        <v>16748438.600010499</v>
      </c>
      <c r="AB46">
        <v>17</v>
      </c>
      <c r="AC46" s="1">
        <v>4.7696959769999998E-12</v>
      </c>
      <c r="AD46">
        <v>0.7329998016</v>
      </c>
      <c r="AE46" s="9"/>
      <c r="AF46" s="10">
        <v>16748438.6000148</v>
      </c>
      <c r="AG46">
        <v>17</v>
      </c>
      <c r="AH46" s="1">
        <v>1.2878599999999999E-9</v>
      </c>
      <c r="AI46">
        <v>1.0129999999999999</v>
      </c>
      <c r="AJ46" s="10"/>
      <c r="AK46" s="10"/>
      <c r="AY46" s="4"/>
      <c r="AZ46" s="4"/>
      <c r="BA46" s="1"/>
      <c r="BB46" s="4"/>
      <c r="BD46" s="4"/>
      <c r="BE46" s="4"/>
      <c r="BF46" s="1"/>
      <c r="BG46" s="4"/>
      <c r="BI46" s="4"/>
      <c r="BJ46" s="4"/>
      <c r="BK46" s="1"/>
      <c r="BL46" s="4"/>
    </row>
    <row r="47" spans="1:67">
      <c r="A47" s="10">
        <v>16748438.600110101</v>
      </c>
      <c r="B47">
        <v>18</v>
      </c>
      <c r="C47" s="1">
        <v>2.6549835169999999E-8</v>
      </c>
      <c r="D47">
        <v>0.93700003620000005</v>
      </c>
      <c r="E47" s="9"/>
      <c r="F47" s="10">
        <v>16748438.6000116</v>
      </c>
      <c r="G47">
        <v>18</v>
      </c>
      <c r="H47" s="1">
        <v>2.374835742E-9</v>
      </c>
      <c r="I47">
        <v>1.1870000359999999</v>
      </c>
      <c r="J47" s="9"/>
      <c r="O47" s="9"/>
      <c r="Q47" s="10">
        <v>16748438.600010499</v>
      </c>
      <c r="R47">
        <v>18</v>
      </c>
      <c r="S47" s="1">
        <v>2.475561477E-12</v>
      </c>
      <c r="T47">
        <v>0.7429997921</v>
      </c>
      <c r="U47" s="9"/>
      <c r="V47" s="10">
        <v>16748438.600010499</v>
      </c>
      <c r="W47">
        <v>18</v>
      </c>
      <c r="X47" s="1">
        <v>2.1667523460000001E-12</v>
      </c>
      <c r="Y47">
        <v>0.77900004389999999</v>
      </c>
      <c r="Z47" s="9"/>
      <c r="AA47" s="10">
        <v>16748438.600010499</v>
      </c>
      <c r="AB47">
        <v>18</v>
      </c>
      <c r="AC47" s="1">
        <v>9.6487021930000002E-13</v>
      </c>
      <c r="AD47">
        <v>0.77699995040000003</v>
      </c>
      <c r="AE47" s="9"/>
      <c r="AF47" s="10">
        <v>16748438.600010499</v>
      </c>
      <c r="AG47">
        <v>18</v>
      </c>
      <c r="AH47" s="1">
        <v>1.5311199999999999E-10</v>
      </c>
      <c r="AI47">
        <v>1.1659999999999999</v>
      </c>
      <c r="AJ47" s="10"/>
      <c r="AK47" s="10"/>
      <c r="AY47" s="4"/>
      <c r="AZ47" s="4"/>
      <c r="BA47" s="1"/>
      <c r="BB47" s="4"/>
      <c r="BD47" s="4"/>
      <c r="BE47" s="4"/>
      <c r="BF47" s="1"/>
      <c r="BG47" s="4"/>
      <c r="BI47" s="4"/>
      <c r="BJ47" s="4"/>
      <c r="BK47" s="1"/>
      <c r="BL47" s="2"/>
    </row>
    <row r="48" spans="1:67">
      <c r="A48" s="10">
        <v>16748438.600110101</v>
      </c>
      <c r="B48">
        <v>19</v>
      </c>
      <c r="C48" s="1">
        <v>2.6549835169999999E-8</v>
      </c>
      <c r="D48">
        <v>0.97000002860000001</v>
      </c>
      <c r="E48" s="9"/>
      <c r="F48" s="10">
        <v>16748438.600011401</v>
      </c>
      <c r="G48">
        <v>19</v>
      </c>
      <c r="H48" s="1">
        <v>2.374835742E-9</v>
      </c>
      <c r="I48">
        <v>1.2330000400000001</v>
      </c>
      <c r="J48" s="9"/>
      <c r="O48" s="9"/>
      <c r="Q48" s="10">
        <v>16748438.600010499</v>
      </c>
      <c r="R48">
        <v>19</v>
      </c>
      <c r="S48" s="1">
        <v>1.004936856E-12</v>
      </c>
      <c r="T48">
        <v>0.79099988939999999</v>
      </c>
      <c r="U48" s="9"/>
      <c r="V48" s="10">
        <v>16748438.600010499</v>
      </c>
      <c r="W48">
        <v>19</v>
      </c>
      <c r="X48" s="1">
        <v>8.174575925E-13</v>
      </c>
      <c r="Y48">
        <v>0.83100008960000005</v>
      </c>
      <c r="Z48" s="9"/>
      <c r="AE48" s="9"/>
      <c r="AF48" s="10">
        <v>16748438.600010499</v>
      </c>
      <c r="AG48">
        <v>19</v>
      </c>
      <c r="AH48" s="1">
        <v>6.6002100000000002E-11</v>
      </c>
      <c r="AI48">
        <v>1.2130000000000001</v>
      </c>
      <c r="AJ48" s="10"/>
      <c r="AK48" s="10"/>
      <c r="AY48" s="4"/>
      <c r="AZ48" s="4"/>
      <c r="BA48" s="1"/>
      <c r="BB48" s="4"/>
      <c r="BD48" s="4"/>
      <c r="BE48" s="4"/>
      <c r="BF48" s="1"/>
      <c r="BG48" s="4"/>
      <c r="BI48" s="4"/>
      <c r="BJ48" s="4"/>
      <c r="BK48" s="1"/>
      <c r="BL48" s="2"/>
    </row>
    <row r="49" spans="1:64">
      <c r="A49" s="10">
        <v>16748438.600110101</v>
      </c>
      <c r="B49">
        <v>20</v>
      </c>
      <c r="C49" s="1">
        <v>2.6549835169999999E-8</v>
      </c>
      <c r="D49">
        <v>1.003999949</v>
      </c>
      <c r="E49" s="9"/>
      <c r="F49" s="10">
        <v>16748438.6000106</v>
      </c>
      <c r="G49">
        <v>20</v>
      </c>
      <c r="H49" s="1">
        <v>8.2724436739999996E-10</v>
      </c>
      <c r="I49">
        <v>1.2730000020000001</v>
      </c>
      <c r="J49" s="9"/>
      <c r="O49" s="9"/>
      <c r="Q49" s="10">
        <v>16748438.600010499</v>
      </c>
      <c r="R49">
        <v>20</v>
      </c>
      <c r="S49" s="1">
        <v>1.944154473E-13</v>
      </c>
      <c r="T49">
        <v>0.83399987220000005</v>
      </c>
      <c r="U49" s="9"/>
      <c r="Z49" s="9"/>
      <c r="AE49" s="9"/>
      <c r="AF49" s="10">
        <v>16748438.600010499</v>
      </c>
      <c r="AG49">
        <v>20</v>
      </c>
      <c r="AH49" s="1">
        <v>1.58765E-11</v>
      </c>
      <c r="AI49">
        <v>1.268</v>
      </c>
      <c r="AJ49" s="10"/>
      <c r="AK49" s="10"/>
      <c r="AY49" s="4"/>
      <c r="AZ49" s="4"/>
      <c r="BA49" s="1"/>
      <c r="BB49" s="4"/>
      <c r="BD49" s="4"/>
      <c r="BE49" s="4"/>
      <c r="BF49" s="1"/>
      <c r="BG49" s="4"/>
      <c r="BI49" s="4"/>
      <c r="BJ49" s="4"/>
      <c r="BK49" s="1"/>
      <c r="BL49" s="2"/>
    </row>
    <row r="50" spans="1:64">
      <c r="A50" s="10">
        <v>16748438.600110101</v>
      </c>
      <c r="B50">
        <v>21</v>
      </c>
      <c r="C50" s="1">
        <v>2.3471802700000002E-8</v>
      </c>
      <c r="D50">
        <v>1.121000051</v>
      </c>
      <c r="E50" s="9"/>
      <c r="F50" s="10">
        <v>16748438.600010499</v>
      </c>
      <c r="G50">
        <v>21</v>
      </c>
      <c r="H50" s="1">
        <v>1.5150217470000001E-10</v>
      </c>
      <c r="I50">
        <v>1.3039999010000001</v>
      </c>
      <c r="J50" s="9"/>
      <c r="O50" s="9"/>
      <c r="U50" s="9"/>
      <c r="Z50" s="9"/>
      <c r="AE50" s="9"/>
      <c r="AF50" s="10">
        <v>16748438.600010499</v>
      </c>
      <c r="AG50">
        <v>21</v>
      </c>
      <c r="AH50" s="1">
        <v>6.0322200000000003E-12</v>
      </c>
      <c r="AI50">
        <v>1.3129999999999999</v>
      </c>
      <c r="AJ50" s="10"/>
      <c r="AK50" s="10"/>
      <c r="AY50" s="4"/>
      <c r="AZ50" s="4"/>
      <c r="BA50" s="1"/>
      <c r="BB50" s="4"/>
      <c r="BD50" s="4"/>
      <c r="BE50" s="4"/>
      <c r="BF50" s="1"/>
      <c r="BG50" s="4"/>
      <c r="BI50" s="4"/>
      <c r="BJ50" s="4"/>
      <c r="BK50" s="1"/>
      <c r="BL50" s="2"/>
    </row>
    <row r="51" spans="1:64">
      <c r="A51" s="10">
        <v>16748438.600110101</v>
      </c>
      <c r="B51">
        <v>22</v>
      </c>
      <c r="C51" s="1">
        <v>2.3471802700000002E-8</v>
      </c>
      <c r="D51">
        <v>1.268000126</v>
      </c>
      <c r="E51" s="9"/>
      <c r="F51" s="10">
        <v>16748438.600010499</v>
      </c>
      <c r="G51">
        <v>22</v>
      </c>
      <c r="H51" s="1">
        <v>2.6652698929999999E-11</v>
      </c>
      <c r="I51">
        <v>1.3580000400000001</v>
      </c>
      <c r="J51" s="9"/>
      <c r="O51" s="9"/>
      <c r="U51" s="9"/>
      <c r="Z51" s="9"/>
      <c r="AE51" s="9"/>
      <c r="AF51" s="10">
        <v>16748438.600010499</v>
      </c>
      <c r="AG51">
        <v>22</v>
      </c>
      <c r="AH51" s="1">
        <v>1.39348E-12</v>
      </c>
      <c r="AI51">
        <v>1.363</v>
      </c>
      <c r="AJ51" s="10"/>
      <c r="AK51" s="10"/>
      <c r="AY51" s="4"/>
      <c r="AZ51" s="4"/>
      <c r="BA51" s="1"/>
      <c r="BB51" s="4"/>
      <c r="BD51" s="4"/>
      <c r="BE51" s="4"/>
      <c r="BF51" s="1"/>
      <c r="BG51" s="4"/>
      <c r="BI51" s="4"/>
      <c r="BJ51" s="4"/>
      <c r="BK51" s="1"/>
      <c r="BL51" s="2"/>
    </row>
    <row r="52" spans="1:64">
      <c r="A52" s="10">
        <v>16748438.600110101</v>
      </c>
      <c r="B52">
        <v>23</v>
      </c>
      <c r="C52" s="1">
        <v>2.3471802700000002E-8</v>
      </c>
      <c r="D52">
        <v>1.3289999960000001</v>
      </c>
      <c r="E52" s="9"/>
      <c r="F52" s="10">
        <v>16748438.600010499</v>
      </c>
      <c r="G52">
        <v>23</v>
      </c>
      <c r="H52" s="1">
        <v>2.6652698929999999E-11</v>
      </c>
      <c r="I52">
        <v>2.1949999330000001</v>
      </c>
      <c r="J52" s="9"/>
      <c r="O52" s="9"/>
      <c r="U52" s="9"/>
      <c r="Z52" s="9"/>
      <c r="AE52" s="9"/>
      <c r="AF52" s="10">
        <v>16748438.600010499</v>
      </c>
      <c r="AG52">
        <v>23</v>
      </c>
      <c r="AH52" s="1">
        <v>6.3167100000000005E-13</v>
      </c>
      <c r="AI52">
        <v>1.403</v>
      </c>
      <c r="AJ52" s="10"/>
      <c r="AK52" s="10"/>
      <c r="AY52" s="4"/>
      <c r="AZ52" s="4"/>
      <c r="BA52" s="1"/>
      <c r="BB52" s="4"/>
      <c r="BD52" s="4"/>
      <c r="BE52" s="4"/>
      <c r="BF52" s="1"/>
      <c r="BG52" s="4"/>
      <c r="BI52" s="4"/>
      <c r="BJ52" s="4"/>
      <c r="BK52" s="1"/>
      <c r="BL52" s="2"/>
    </row>
    <row r="53" spans="1:64">
      <c r="A53" s="10">
        <v>16748438.600110101</v>
      </c>
      <c r="B53">
        <v>24</v>
      </c>
      <c r="C53" s="1">
        <v>1.658835888E-8</v>
      </c>
      <c r="D53">
        <v>1.3980000020000001</v>
      </c>
      <c r="E53" s="9"/>
      <c r="F53" s="10">
        <v>16748438.600010499</v>
      </c>
      <c r="G53">
        <v>24</v>
      </c>
      <c r="H53" s="1">
        <v>2.6652698929999999E-11</v>
      </c>
      <c r="I53">
        <v>2.3829998969999999</v>
      </c>
      <c r="J53" s="9"/>
      <c r="O53" s="9"/>
      <c r="U53" s="9"/>
      <c r="Z53" s="9"/>
      <c r="AE53" s="9"/>
      <c r="AY53" s="4"/>
      <c r="AZ53" s="4"/>
      <c r="BA53" s="1"/>
      <c r="BB53" s="4"/>
      <c r="BD53" s="4"/>
      <c r="BE53" s="4"/>
      <c r="BF53" s="1"/>
      <c r="BG53" s="4"/>
      <c r="BI53" s="4"/>
      <c r="BJ53" s="4"/>
      <c r="BK53" s="1"/>
      <c r="BL53" s="2"/>
    </row>
    <row r="54" spans="1:64">
      <c r="A54" s="10">
        <v>16748438.600110101</v>
      </c>
      <c r="B54">
        <v>25</v>
      </c>
      <c r="C54" s="1">
        <v>6.7116220880000002E-9</v>
      </c>
      <c r="D54">
        <v>1.444000006</v>
      </c>
      <c r="E54" s="9"/>
      <c r="F54" s="10">
        <v>16748438.600010499</v>
      </c>
      <c r="G54">
        <v>25</v>
      </c>
      <c r="H54" s="1">
        <v>2.6652698929999999E-11</v>
      </c>
      <c r="I54">
        <v>2.4749999049999998</v>
      </c>
      <c r="J54" s="9"/>
      <c r="O54" s="9"/>
      <c r="U54" s="9"/>
      <c r="Z54" s="9"/>
      <c r="AE54" s="9"/>
      <c r="AY54" s="4"/>
      <c r="AZ54" s="4"/>
      <c r="BA54" s="1"/>
      <c r="BB54" s="4"/>
      <c r="BD54" s="4"/>
      <c r="BE54" s="4"/>
      <c r="BF54" s="1"/>
      <c r="BG54" s="4"/>
      <c r="BI54" s="4"/>
      <c r="BJ54" s="4"/>
      <c r="BK54" s="1"/>
      <c r="BL54" s="2"/>
    </row>
    <row r="55" spans="1:64">
      <c r="A55" s="10">
        <v>16748438.600110101</v>
      </c>
      <c r="B55">
        <v>26</v>
      </c>
      <c r="C55" s="1">
        <v>6.7116220880000002E-9</v>
      </c>
      <c r="D55">
        <v>1.8470001220000001</v>
      </c>
      <c r="E55" s="9"/>
      <c r="F55" s="10">
        <v>16748438.600010499</v>
      </c>
      <c r="G55">
        <v>26</v>
      </c>
      <c r="H55" s="1">
        <v>2.6652698929999999E-11</v>
      </c>
      <c r="I55">
        <v>2.5119998460000001</v>
      </c>
      <c r="J55" s="9"/>
      <c r="O55" s="9"/>
      <c r="U55" s="9"/>
      <c r="Z55" s="9"/>
      <c r="AE55" s="9"/>
      <c r="AF55" s="9"/>
      <c r="AJ55" t="s">
        <v>2</v>
      </c>
      <c r="BD55" s="4"/>
      <c r="BE55" s="4"/>
      <c r="BF55" s="1"/>
      <c r="BG55" s="4"/>
      <c r="BI55" s="4"/>
      <c r="BJ55" s="4"/>
      <c r="BK55" s="1"/>
      <c r="BL55" s="2"/>
    </row>
    <row r="56" spans="1:64">
      <c r="A56" s="10">
        <v>16748438.600110101</v>
      </c>
      <c r="B56">
        <v>27</v>
      </c>
      <c r="C56" s="1">
        <v>6.7116220880000002E-9</v>
      </c>
      <c r="D56">
        <v>1.875</v>
      </c>
      <c r="E56" s="9"/>
      <c r="F56" s="10">
        <v>16748438.600010499</v>
      </c>
      <c r="G56">
        <v>27</v>
      </c>
      <c r="H56" s="1">
        <v>1.0160709509999999E-11</v>
      </c>
      <c r="I56">
        <v>2.8159999849999999</v>
      </c>
      <c r="J56" s="9"/>
      <c r="O56" s="9"/>
      <c r="U56" s="9"/>
      <c r="Z56" s="9"/>
      <c r="AE56" s="9"/>
      <c r="AF56" s="9"/>
      <c r="BD56" s="4"/>
      <c r="BE56" s="4"/>
      <c r="BF56" s="1"/>
      <c r="BG56" s="4"/>
      <c r="BI56" s="4"/>
      <c r="BJ56" s="4"/>
      <c r="BK56" s="1"/>
      <c r="BL56" s="2"/>
    </row>
    <row r="57" spans="1:64">
      <c r="A57" s="10">
        <v>16748438.600110101</v>
      </c>
      <c r="B57">
        <v>28</v>
      </c>
      <c r="C57" s="1">
        <v>6.7116220880000002E-9</v>
      </c>
      <c r="D57">
        <v>1.9049999710000001</v>
      </c>
      <c r="E57" s="9"/>
      <c r="F57" s="10">
        <v>16748438.600010499</v>
      </c>
      <c r="G57">
        <v>28</v>
      </c>
      <c r="H57" s="1">
        <v>3.3295302820000002E-12</v>
      </c>
      <c r="I57">
        <v>2.856999874</v>
      </c>
      <c r="J57" s="9"/>
      <c r="O57" s="9"/>
      <c r="U57" s="9"/>
      <c r="Z57" s="9"/>
      <c r="AE57" s="9"/>
      <c r="AF57" s="9"/>
      <c r="BD57" s="4"/>
      <c r="BE57" s="4"/>
      <c r="BF57" s="1"/>
      <c r="BG57" s="4"/>
    </row>
    <row r="58" spans="1:64">
      <c r="A58" s="10">
        <v>16748438.6001064</v>
      </c>
      <c r="B58">
        <v>29</v>
      </c>
      <c r="C58" s="1">
        <v>6.7116220880000002E-9</v>
      </c>
      <c r="D58">
        <v>1.9370000359999999</v>
      </c>
      <c r="E58" s="10"/>
      <c r="F58" s="10">
        <v>16748438.600010499</v>
      </c>
      <c r="G58">
        <v>29</v>
      </c>
      <c r="H58" s="1">
        <v>6.2644578110000001E-13</v>
      </c>
      <c r="I58">
        <v>2.8999998570000001</v>
      </c>
      <c r="J58" s="10"/>
      <c r="AF58" s="9"/>
    </row>
    <row r="59" spans="1:64">
      <c r="A59" s="10">
        <v>16748438.6000617</v>
      </c>
      <c r="B59">
        <v>30</v>
      </c>
      <c r="C59" s="1">
        <v>6.7116220880000002E-9</v>
      </c>
      <c r="D59">
        <v>1.998000145</v>
      </c>
      <c r="E59" s="10"/>
    </row>
    <row r="60" spans="1:64">
      <c r="A60" s="10">
        <v>16748438.600011401</v>
      </c>
      <c r="B60">
        <v>31</v>
      </c>
      <c r="C60" s="1">
        <v>3.5150251939999998E-10</v>
      </c>
      <c r="D60">
        <v>2.0729999540000001</v>
      </c>
      <c r="E60" s="10"/>
    </row>
    <row r="61" spans="1:64">
      <c r="A61" s="10">
        <v>16748438.600010499</v>
      </c>
      <c r="B61">
        <v>32</v>
      </c>
      <c r="C61" s="1">
        <v>8.8081724860000006E-11</v>
      </c>
      <c r="D61">
        <v>2.1150000100000002</v>
      </c>
      <c r="E61" s="10"/>
    </row>
    <row r="62" spans="1:64">
      <c r="A62" s="10">
        <v>16748438.600010499</v>
      </c>
      <c r="B62">
        <v>33</v>
      </c>
      <c r="C62" s="1">
        <v>1.765146785E-12</v>
      </c>
      <c r="D62">
        <v>3.7910001279999999</v>
      </c>
      <c r="E62" s="10"/>
    </row>
    <row r="63" spans="1:64">
      <c r="E63" t="s">
        <v>2</v>
      </c>
    </row>
    <row r="64" spans="1:64">
      <c r="E64" t="s">
        <v>2</v>
      </c>
    </row>
    <row r="65" spans="1:35">
      <c r="E65" t="s">
        <v>2</v>
      </c>
    </row>
    <row r="67" spans="1:35">
      <c r="A67" s="15" t="s">
        <v>15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 spans="1:35">
      <c r="A68" s="14" t="s">
        <v>13</v>
      </c>
      <c r="B68" s="14"/>
      <c r="C68" s="14"/>
      <c r="D68" s="14"/>
      <c r="E68" s="9"/>
      <c r="F68" s="14" t="s">
        <v>8</v>
      </c>
      <c r="G68" s="14"/>
      <c r="H68" s="14"/>
      <c r="I68" s="14"/>
      <c r="K68" s="14" t="s">
        <v>9</v>
      </c>
      <c r="L68" s="14"/>
      <c r="M68" s="14"/>
      <c r="N68" s="14"/>
      <c r="Q68" s="14" t="s">
        <v>10</v>
      </c>
      <c r="R68" s="14"/>
      <c r="S68" s="14"/>
      <c r="T68" s="14"/>
      <c r="V68" s="14" t="s">
        <v>11</v>
      </c>
      <c r="W68" s="14"/>
      <c r="X68" s="14"/>
      <c r="Y68" s="14"/>
      <c r="AA68" s="14" t="s">
        <v>12</v>
      </c>
      <c r="AB68" s="14"/>
      <c r="AC68" s="14"/>
      <c r="AD68" s="14"/>
      <c r="AF68" s="14" t="s">
        <v>7</v>
      </c>
      <c r="AG68" s="14"/>
      <c r="AH68" s="14"/>
      <c r="AI68" s="14"/>
    </row>
    <row r="69" spans="1:35">
      <c r="A69" s="10" t="s">
        <v>5</v>
      </c>
      <c r="B69" s="9" t="s">
        <v>6</v>
      </c>
      <c r="C69" s="9" t="s">
        <v>0</v>
      </c>
      <c r="D69" s="9" t="s">
        <v>1</v>
      </c>
      <c r="E69" s="9"/>
      <c r="F69" s="10" t="s">
        <v>5</v>
      </c>
      <c r="G69" s="9" t="s">
        <v>6</v>
      </c>
      <c r="H69" s="9" t="s">
        <v>0</v>
      </c>
      <c r="I69" s="9" t="s">
        <v>1</v>
      </c>
      <c r="J69" s="9"/>
      <c r="K69" s="9" t="s">
        <v>5</v>
      </c>
      <c r="L69" s="9" t="s">
        <v>6</v>
      </c>
      <c r="M69" s="9" t="s">
        <v>0</v>
      </c>
      <c r="N69" s="9" t="s">
        <v>1</v>
      </c>
      <c r="O69" s="9"/>
      <c r="Q69" s="9" t="s">
        <v>5</v>
      </c>
      <c r="R69" s="9" t="s">
        <v>6</v>
      </c>
      <c r="S69" s="9" t="s">
        <v>0</v>
      </c>
      <c r="T69" s="9" t="s">
        <v>1</v>
      </c>
      <c r="U69" s="9"/>
      <c r="V69" s="9" t="s">
        <v>5</v>
      </c>
      <c r="W69" s="9" t="s">
        <v>6</v>
      </c>
      <c r="X69" s="9" t="s">
        <v>0</v>
      </c>
      <c r="Y69" s="9" t="s">
        <v>1</v>
      </c>
      <c r="Z69" s="9"/>
      <c r="AA69" s="9" t="s">
        <v>5</v>
      </c>
      <c r="AB69" s="9" t="s">
        <v>6</v>
      </c>
      <c r="AC69" s="9" t="s">
        <v>0</v>
      </c>
      <c r="AD69" s="9" t="s">
        <v>1</v>
      </c>
      <c r="AE69" s="9"/>
      <c r="AF69" s="9" t="s">
        <v>5</v>
      </c>
      <c r="AG69" s="9" t="s">
        <v>6</v>
      </c>
      <c r="AH69" s="9" t="s">
        <v>0</v>
      </c>
      <c r="AI69" s="9" t="s">
        <v>1</v>
      </c>
    </row>
    <row r="70" spans="1:35">
      <c r="A70" s="10">
        <v>195022.50422106701</v>
      </c>
      <c r="B70">
        <v>0</v>
      </c>
      <c r="C70">
        <v>4.7670839850000001E-2</v>
      </c>
      <c r="D70">
        <v>0.49099993710000001</v>
      </c>
      <c r="F70" s="10">
        <v>195022.50422106701</v>
      </c>
      <c r="G70">
        <v>0</v>
      </c>
      <c r="H70">
        <v>4.7670839850000001E-2</v>
      </c>
      <c r="I70">
        <v>0.46799993519999999</v>
      </c>
      <c r="K70">
        <v>195022.50422106701</v>
      </c>
      <c r="L70">
        <v>0</v>
      </c>
      <c r="M70">
        <v>4.7670839850000001E-2</v>
      </c>
      <c r="N70">
        <v>0.5</v>
      </c>
      <c r="Q70">
        <v>195022.50422106701</v>
      </c>
      <c r="R70">
        <v>0</v>
      </c>
      <c r="S70">
        <v>4.7670839850000001E-2</v>
      </c>
      <c r="T70">
        <v>0.47500014309999999</v>
      </c>
      <c r="V70">
        <v>195022.50422106701</v>
      </c>
      <c r="W70">
        <v>0</v>
      </c>
      <c r="X70">
        <v>4.7670839850000001E-2</v>
      </c>
      <c r="Y70">
        <v>0.47100019450000002</v>
      </c>
      <c r="AA70">
        <v>195022.50422106701</v>
      </c>
      <c r="AB70">
        <v>0</v>
      </c>
      <c r="AC70">
        <v>4.7670839850000001E-2</v>
      </c>
      <c r="AD70">
        <v>0.44899988169999999</v>
      </c>
      <c r="AF70">
        <v>195441.418543084</v>
      </c>
      <c r="AG70">
        <v>0</v>
      </c>
      <c r="AH70">
        <v>3.8615186029999998E-2</v>
      </c>
      <c r="AI70">
        <v>0.50199985499999999</v>
      </c>
    </row>
    <row r="71" spans="1:35">
      <c r="A71" s="10">
        <v>193120.11511889301</v>
      </c>
      <c r="B71">
        <v>1</v>
      </c>
      <c r="C71">
        <v>2.9144665959999999E-3</v>
      </c>
      <c r="D71">
        <v>1.2829999919999999</v>
      </c>
      <c r="E71" t="s">
        <v>2</v>
      </c>
      <c r="F71" s="10">
        <v>193093.33569495101</v>
      </c>
      <c r="G71">
        <v>1</v>
      </c>
      <c r="H71">
        <v>2.605798089E-3</v>
      </c>
      <c r="I71">
        <v>1.2369999890000001</v>
      </c>
      <c r="K71">
        <v>193093.33569495101</v>
      </c>
      <c r="L71">
        <v>1</v>
      </c>
      <c r="M71">
        <v>2.605798089E-3</v>
      </c>
      <c r="N71">
        <v>1.356999874</v>
      </c>
      <c r="Q71">
        <v>193093.33569495101</v>
      </c>
      <c r="R71">
        <v>1</v>
      </c>
      <c r="S71">
        <v>2.605798089E-3</v>
      </c>
      <c r="T71">
        <v>1.248000145</v>
      </c>
      <c r="V71">
        <v>193093.33569495101</v>
      </c>
      <c r="W71">
        <v>1</v>
      </c>
      <c r="X71">
        <v>2.605798089E-3</v>
      </c>
      <c r="Y71">
        <v>1.2450001239999999</v>
      </c>
      <c r="AA71">
        <v>193093.33569495101</v>
      </c>
      <c r="AB71">
        <v>1</v>
      </c>
      <c r="AC71">
        <v>2.605798089E-3</v>
      </c>
      <c r="AD71">
        <v>1.219000101</v>
      </c>
      <c r="AE71" t="s">
        <v>2</v>
      </c>
      <c r="AF71">
        <v>193894.33820833499</v>
      </c>
      <c r="AG71">
        <v>1</v>
      </c>
      <c r="AH71" s="1">
        <v>2.5689599999999999E-3</v>
      </c>
      <c r="AI71">
        <v>1.304</v>
      </c>
    </row>
    <row r="72" spans="1:35">
      <c r="A72" s="10">
        <v>192772.161442315</v>
      </c>
      <c r="B72">
        <v>2</v>
      </c>
      <c r="C72">
        <v>3.2281570809999997E-4</v>
      </c>
      <c r="D72">
        <v>1.849999905</v>
      </c>
      <c r="E72" t="s">
        <v>2</v>
      </c>
      <c r="F72" s="10">
        <v>192767.647531795</v>
      </c>
      <c r="G72">
        <v>2</v>
      </c>
      <c r="H72">
        <v>2.706281496E-4</v>
      </c>
      <c r="I72">
        <v>1.7869999409999999</v>
      </c>
      <c r="K72">
        <v>192768.627174858</v>
      </c>
      <c r="L72">
        <v>2</v>
      </c>
      <c r="M72">
        <v>2.9096145199999999E-4</v>
      </c>
      <c r="N72">
        <v>1.9159998890000001</v>
      </c>
      <c r="Q72">
        <v>192768.627174858</v>
      </c>
      <c r="R72">
        <v>2</v>
      </c>
      <c r="S72">
        <v>2.9096145199999999E-4</v>
      </c>
      <c r="T72">
        <v>1.8650000099999999</v>
      </c>
      <c r="V72">
        <v>192768.627174858</v>
      </c>
      <c r="W72">
        <v>2</v>
      </c>
      <c r="X72">
        <v>2.9096145199999999E-4</v>
      </c>
      <c r="Y72">
        <v>1.813000202</v>
      </c>
      <c r="AA72">
        <v>192768.627174858</v>
      </c>
      <c r="AB72">
        <v>2</v>
      </c>
      <c r="AC72">
        <v>2.9096145199999999E-4</v>
      </c>
      <c r="AD72">
        <v>1.7829999919999999</v>
      </c>
      <c r="AE72" t="s">
        <v>2</v>
      </c>
      <c r="AF72">
        <v>193555.822375391</v>
      </c>
      <c r="AG72">
        <v>2</v>
      </c>
      <c r="AH72" s="1">
        <v>3.2745099999999998E-4</v>
      </c>
      <c r="AI72">
        <v>1.889</v>
      </c>
    </row>
    <row r="73" spans="1:35">
      <c r="A73" s="10">
        <v>192739.94037296801</v>
      </c>
      <c r="B73">
        <v>3</v>
      </c>
      <c r="C73" s="1">
        <v>5.4280245799999998E-5</v>
      </c>
      <c r="D73">
        <v>2.5090000629999998</v>
      </c>
      <c r="E73" t="s">
        <v>2</v>
      </c>
      <c r="F73" s="10">
        <v>192739.14516075401</v>
      </c>
      <c r="G73">
        <v>3</v>
      </c>
      <c r="H73" s="1">
        <v>3.6521618259999997E-5</v>
      </c>
      <c r="I73">
        <v>2.4119999409999999</v>
      </c>
      <c r="K73">
        <v>192739.11932593401</v>
      </c>
      <c r="L73">
        <v>3</v>
      </c>
      <c r="M73" s="1">
        <v>3.8109040090000002E-5</v>
      </c>
      <c r="N73">
        <v>2.5569999220000001</v>
      </c>
      <c r="Q73">
        <v>192739.120956072</v>
      </c>
      <c r="R73">
        <v>3</v>
      </c>
      <c r="S73" s="1">
        <v>3.743242576E-5</v>
      </c>
      <c r="T73">
        <v>2.4840002060000002</v>
      </c>
      <c r="V73">
        <v>192739.120956072</v>
      </c>
      <c r="W73">
        <v>3</v>
      </c>
      <c r="X73" s="1">
        <v>3.743242576E-5</v>
      </c>
      <c r="Y73">
        <v>2.4500000480000002</v>
      </c>
      <c r="AA73">
        <v>192739.120956072</v>
      </c>
      <c r="AB73">
        <v>3</v>
      </c>
      <c r="AC73" s="1">
        <v>3.743242576E-5</v>
      </c>
      <c r="AD73">
        <v>2.4300000669999999</v>
      </c>
      <c r="AE73" t="s">
        <v>2</v>
      </c>
      <c r="AF73">
        <v>193519.72938925901</v>
      </c>
      <c r="AG73">
        <v>3</v>
      </c>
      <c r="AH73" s="1">
        <v>4.95663E-5</v>
      </c>
      <c r="AI73">
        <v>2.4550000000000001</v>
      </c>
    </row>
    <row r="74" spans="1:35">
      <c r="A74" s="10">
        <v>192737.17119911799</v>
      </c>
      <c r="B74">
        <v>4</v>
      </c>
      <c r="C74" s="1">
        <v>3.4695642909999999E-6</v>
      </c>
      <c r="D74">
        <v>3.2990000249999998</v>
      </c>
      <c r="E74" t="s">
        <v>2</v>
      </c>
      <c r="F74" s="10">
        <v>192737.13618458199</v>
      </c>
      <c r="G74">
        <v>4</v>
      </c>
      <c r="H74" s="1">
        <v>3.128143869E-6</v>
      </c>
      <c r="I74">
        <v>3.180999994</v>
      </c>
      <c r="K74">
        <v>192737.120127642</v>
      </c>
      <c r="L74">
        <v>4</v>
      </c>
      <c r="M74" s="1">
        <v>2.1134166799999999E-6</v>
      </c>
      <c r="N74">
        <v>3.3029999729999999</v>
      </c>
      <c r="Q74">
        <v>192737.11782389399</v>
      </c>
      <c r="R74">
        <v>4</v>
      </c>
      <c r="S74" s="1">
        <v>1.8015947000000001E-6</v>
      </c>
      <c r="T74">
        <v>3.2110002039999999</v>
      </c>
      <c r="V74">
        <v>192737.11767374401</v>
      </c>
      <c r="W74">
        <v>4</v>
      </c>
      <c r="X74" s="1">
        <v>1.7685727690000001E-6</v>
      </c>
      <c r="Y74">
        <v>3.1860001090000001</v>
      </c>
      <c r="AA74">
        <v>192737.11767374401</v>
      </c>
      <c r="AB74">
        <v>4</v>
      </c>
      <c r="AC74" s="1">
        <v>1.7685727690000001E-6</v>
      </c>
      <c r="AD74">
        <v>3.1549999710000001</v>
      </c>
      <c r="AE74" t="s">
        <v>2</v>
      </c>
      <c r="AF74">
        <v>193515.124108152</v>
      </c>
      <c r="AG74">
        <v>4</v>
      </c>
      <c r="AH74" s="1">
        <v>3.1996900000000002E-6</v>
      </c>
      <c r="AI74">
        <v>3.1070000000000002</v>
      </c>
    </row>
    <row r="75" spans="1:35">
      <c r="A75" s="10">
        <v>192737.05611598201</v>
      </c>
      <c r="B75">
        <v>5</v>
      </c>
      <c r="C75" s="1">
        <v>1.6052841830000001E-7</v>
      </c>
      <c r="D75">
        <v>4.1180000310000002</v>
      </c>
      <c r="E75" t="s">
        <v>2</v>
      </c>
      <c r="F75" s="10">
        <v>192737.056965772</v>
      </c>
      <c r="G75">
        <v>5</v>
      </c>
      <c r="H75" s="1">
        <v>1.179237782E-7</v>
      </c>
      <c r="I75">
        <v>3.9639999869999998</v>
      </c>
      <c r="K75">
        <v>192737.05695173101</v>
      </c>
      <c r="L75">
        <v>5</v>
      </c>
      <c r="M75" s="1">
        <v>5.9027896590000003E-8</v>
      </c>
      <c r="N75">
        <v>4.1889998909999999</v>
      </c>
      <c r="Q75">
        <v>192737.05670943001</v>
      </c>
      <c r="R75">
        <v>5</v>
      </c>
      <c r="S75" s="1">
        <v>5.1644473700000003E-8</v>
      </c>
      <c r="T75">
        <v>4.3810000420000001</v>
      </c>
      <c r="V75">
        <v>192737.05696074601</v>
      </c>
      <c r="W75">
        <v>5</v>
      </c>
      <c r="X75" s="1">
        <v>5.3590337829999998E-8</v>
      </c>
      <c r="Y75">
        <v>4.3800001139999996</v>
      </c>
      <c r="AA75">
        <v>192737.05694591301</v>
      </c>
      <c r="AB75">
        <v>5</v>
      </c>
      <c r="AC75" s="1">
        <v>5.5479584160000002E-8</v>
      </c>
      <c r="AD75">
        <v>4.3229999540000001</v>
      </c>
      <c r="AE75" t="s">
        <v>2</v>
      </c>
      <c r="AF75">
        <v>193514.991420209</v>
      </c>
      <c r="AG75">
        <v>5</v>
      </c>
      <c r="AH75" s="1">
        <v>6.1124899999999994E-8</v>
      </c>
      <c r="AI75">
        <v>4.0140000000000002</v>
      </c>
    </row>
    <row r="76" spans="1:35">
      <c r="A76" s="10">
        <v>192737.05532686599</v>
      </c>
      <c r="B76">
        <v>6</v>
      </c>
      <c r="C76" s="1">
        <v>2.9234322349999998E-9</v>
      </c>
      <c r="D76">
        <v>5.2899999619999996</v>
      </c>
      <c r="E76" t="s">
        <v>2</v>
      </c>
      <c r="F76" s="10">
        <v>192737.055325678</v>
      </c>
      <c r="G76">
        <v>6</v>
      </c>
      <c r="H76" s="1">
        <v>2.5721814369999999E-9</v>
      </c>
      <c r="I76">
        <v>5.1019999980000001</v>
      </c>
      <c r="K76">
        <v>192737.055324827</v>
      </c>
      <c r="L76">
        <v>6</v>
      </c>
      <c r="M76" s="1">
        <v>1.310183378E-9</v>
      </c>
      <c r="N76">
        <v>5.4089999200000003</v>
      </c>
      <c r="Q76">
        <v>192737.05532396701</v>
      </c>
      <c r="R76">
        <v>6</v>
      </c>
      <c r="S76" s="1">
        <v>1.0812947660000001E-9</v>
      </c>
      <c r="T76">
        <v>5.8030002119999997</v>
      </c>
      <c r="V76">
        <v>192737.05532416701</v>
      </c>
      <c r="W76">
        <v>6</v>
      </c>
      <c r="X76" s="1">
        <v>1.2604636800000001E-9</v>
      </c>
      <c r="Y76">
        <v>5.9210000039999997</v>
      </c>
      <c r="AA76">
        <v>192737.05532402301</v>
      </c>
      <c r="AB76">
        <v>6</v>
      </c>
      <c r="AC76" s="1">
        <v>1.3903061719999999E-9</v>
      </c>
      <c r="AD76">
        <v>5.8880000109999999</v>
      </c>
      <c r="AE76" t="s">
        <v>2</v>
      </c>
      <c r="AF76">
        <v>193514.99015093301</v>
      </c>
      <c r="AG76">
        <v>6</v>
      </c>
      <c r="AH76" s="1">
        <v>1.1457000000000001E-9</v>
      </c>
      <c r="AI76">
        <v>5.3280000000000003</v>
      </c>
    </row>
    <row r="77" spans="1:35">
      <c r="A77" s="10">
        <v>192737.055326753</v>
      </c>
      <c r="B77">
        <v>7</v>
      </c>
      <c r="C77" s="1">
        <v>1.162517612E-9</v>
      </c>
      <c r="D77">
        <v>7.016000032</v>
      </c>
      <c r="E77" t="s">
        <v>2</v>
      </c>
      <c r="F77" s="10">
        <v>192737.05531963901</v>
      </c>
      <c r="G77">
        <v>7</v>
      </c>
      <c r="H77" s="1">
        <v>5.0344899360000003E-11</v>
      </c>
      <c r="I77">
        <v>6.433000088</v>
      </c>
      <c r="K77">
        <v>192737.055321494</v>
      </c>
      <c r="L77">
        <v>7</v>
      </c>
      <c r="M77" s="1">
        <v>3.5126435959999998E-10</v>
      </c>
      <c r="N77">
        <v>7.0439999100000001</v>
      </c>
      <c r="Q77">
        <v>192737.055319632</v>
      </c>
      <c r="R77">
        <v>7</v>
      </c>
      <c r="S77" s="1">
        <v>1.7424438140000001E-11</v>
      </c>
      <c r="T77">
        <v>7.2039999960000003</v>
      </c>
      <c r="V77">
        <v>192737.055319646</v>
      </c>
      <c r="W77">
        <v>7</v>
      </c>
      <c r="X77" s="1">
        <v>2.3459717949999999E-11</v>
      </c>
      <c r="Y77">
        <v>7.3550000190000002</v>
      </c>
      <c r="AA77">
        <v>192737.055345475</v>
      </c>
      <c r="AB77">
        <v>7</v>
      </c>
      <c r="AC77" s="1">
        <v>4.243971338E-10</v>
      </c>
      <c r="AD77">
        <v>7.8050000669999999</v>
      </c>
      <c r="AE77" t="s">
        <v>2</v>
      </c>
      <c r="AF77">
        <v>193514.99014681799</v>
      </c>
      <c r="AG77">
        <v>7</v>
      </c>
      <c r="AH77" s="1">
        <v>1.8901899999999999E-11</v>
      </c>
      <c r="AI77">
        <v>6.82</v>
      </c>
    </row>
    <row r="78" spans="1:35">
      <c r="A78" s="10">
        <v>192737.05532102499</v>
      </c>
      <c r="B78">
        <v>8</v>
      </c>
      <c r="C78" s="1">
        <v>8.7040952249999996E-11</v>
      </c>
      <c r="D78">
        <v>8.4969999789999999</v>
      </c>
      <c r="E78" t="s">
        <v>2</v>
      </c>
      <c r="F78" s="10">
        <v>192737.055319623</v>
      </c>
      <c r="G78">
        <v>8</v>
      </c>
      <c r="H78" s="1">
        <v>8.5339591300000003E-13</v>
      </c>
      <c r="I78">
        <v>7.7469999789999999</v>
      </c>
      <c r="K78">
        <v>192737.055326078</v>
      </c>
      <c r="L78">
        <v>8</v>
      </c>
      <c r="M78" s="1">
        <v>1.9863801220000001E-10</v>
      </c>
      <c r="N78">
        <v>8.4879999159999997</v>
      </c>
      <c r="Q78">
        <v>192737.05531962399</v>
      </c>
      <c r="R78">
        <v>8</v>
      </c>
      <c r="S78" s="1">
        <v>3.5612631550000002E-13</v>
      </c>
      <c r="T78">
        <v>9.2750000949999993</v>
      </c>
      <c r="V78">
        <v>192737.05532226601</v>
      </c>
      <c r="W78">
        <v>8</v>
      </c>
      <c r="X78" s="1">
        <v>2.3459717949999999E-11</v>
      </c>
      <c r="Y78">
        <v>11.22600007</v>
      </c>
      <c r="AA78">
        <v>192737.05531982501</v>
      </c>
      <c r="AB78">
        <v>8</v>
      </c>
      <c r="AC78" s="1">
        <v>2.3926417489999999E-11</v>
      </c>
      <c r="AD78">
        <v>9.2369999889999992</v>
      </c>
      <c r="AE78" t="s">
        <v>2</v>
      </c>
      <c r="AF78">
        <v>193514.99014681301</v>
      </c>
      <c r="AG78">
        <v>8</v>
      </c>
      <c r="AH78" s="1">
        <v>3.6272100000000002E-13</v>
      </c>
      <c r="AI78">
        <v>8.4499999999999993</v>
      </c>
    </row>
    <row r="79" spans="1:35">
      <c r="A79" s="10">
        <v>192737.06058670499</v>
      </c>
      <c r="B79">
        <v>9</v>
      </c>
      <c r="C79" s="1">
        <v>2.4800307259999999E-11</v>
      </c>
      <c r="D79">
        <v>10.98200011</v>
      </c>
      <c r="E79" t="s">
        <v>2</v>
      </c>
      <c r="K79">
        <v>192737.05532144601</v>
      </c>
      <c r="L79">
        <v>9</v>
      </c>
      <c r="M79" s="1">
        <v>1.9863801220000001E-10</v>
      </c>
      <c r="N79">
        <v>9.4389998909999999</v>
      </c>
      <c r="V79">
        <v>192737.055319634</v>
      </c>
      <c r="W79">
        <v>9</v>
      </c>
      <c r="X79" s="1">
        <v>1.016573685E-11</v>
      </c>
      <c r="Y79">
        <v>11.795000079999999</v>
      </c>
      <c r="AA79">
        <v>192737.05531962399</v>
      </c>
      <c r="AB79">
        <v>9</v>
      </c>
      <c r="AC79" s="1">
        <v>4.1798097099999999E-13</v>
      </c>
      <c r="AD79">
        <v>10.65499997</v>
      </c>
      <c r="AE79" t="s">
        <v>2</v>
      </c>
    </row>
    <row r="80" spans="1:35">
      <c r="A80" s="10">
        <v>192737.05546664901</v>
      </c>
      <c r="B80">
        <v>10</v>
      </c>
      <c r="C80" s="1">
        <v>2.4800307259999999E-11</v>
      </c>
      <c r="D80">
        <v>11.53299999</v>
      </c>
      <c r="E80" t="s">
        <v>2</v>
      </c>
      <c r="K80">
        <v>192737.05531962399</v>
      </c>
      <c r="L80">
        <v>10</v>
      </c>
      <c r="M80" s="1">
        <v>4.4619982079999997E-12</v>
      </c>
      <c r="N80">
        <v>10.32500005</v>
      </c>
      <c r="V80">
        <v>192737.05531962399</v>
      </c>
      <c r="W80">
        <v>10</v>
      </c>
      <c r="X80" s="1">
        <v>1.016573685E-11</v>
      </c>
      <c r="Y80">
        <v>12.41200018</v>
      </c>
    </row>
    <row r="81" spans="1:36">
      <c r="A81" s="10">
        <v>192737.055319629</v>
      </c>
      <c r="B81">
        <v>11</v>
      </c>
      <c r="C81" s="1">
        <v>2.4800307259999999E-11</v>
      </c>
      <c r="D81">
        <v>12.181999920000001</v>
      </c>
      <c r="K81">
        <v>192737.05531962501</v>
      </c>
      <c r="L81">
        <v>11</v>
      </c>
      <c r="M81" s="1">
        <v>8.7704041080000006E-14</v>
      </c>
      <c r="N81">
        <v>11.78500009</v>
      </c>
      <c r="V81">
        <v>192737.05531962399</v>
      </c>
      <c r="W81">
        <v>11</v>
      </c>
      <c r="X81" s="1">
        <v>1.798079372E-13</v>
      </c>
      <c r="Y81">
        <v>13.40100002</v>
      </c>
    </row>
    <row r="82" spans="1:36">
      <c r="A82" s="10">
        <v>192737.05531962501</v>
      </c>
      <c r="B82">
        <v>12</v>
      </c>
      <c r="C82" s="1">
        <v>2.4800307259999999E-11</v>
      </c>
      <c r="D82">
        <v>12.832999940000001</v>
      </c>
    </row>
    <row r="83" spans="1:36">
      <c r="A83" s="10">
        <v>192737.05531962501</v>
      </c>
      <c r="B83">
        <v>13</v>
      </c>
      <c r="C83" s="1">
        <v>3.5393720290000001E-13</v>
      </c>
      <c r="D83">
        <v>13.95000005</v>
      </c>
    </row>
    <row r="86" spans="1:36">
      <c r="E86" t="s">
        <v>2</v>
      </c>
      <c r="AJ86" s="9"/>
    </row>
    <row r="87" spans="1:36">
      <c r="E87" t="s">
        <v>2</v>
      </c>
    </row>
    <row r="88" spans="1:36">
      <c r="A88" s="12" t="s">
        <v>4</v>
      </c>
      <c r="B88" s="8"/>
      <c r="C88" s="8"/>
      <c r="D88" s="8"/>
      <c r="E88" s="8"/>
      <c r="F88" s="12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1:36">
      <c r="A89" s="14" t="s">
        <v>13</v>
      </c>
      <c r="B89" s="14"/>
      <c r="C89" s="14"/>
      <c r="D89" s="14"/>
      <c r="F89" s="14" t="s">
        <v>8</v>
      </c>
      <c r="G89" s="14"/>
      <c r="H89" s="14"/>
      <c r="I89" s="14"/>
      <c r="L89" s="14" t="s">
        <v>9</v>
      </c>
      <c r="M89" s="14"/>
      <c r="N89" s="14"/>
      <c r="O89" s="14"/>
      <c r="Q89" s="14" t="s">
        <v>10</v>
      </c>
      <c r="R89" s="14"/>
      <c r="S89" s="14"/>
      <c r="T89" s="14"/>
      <c r="V89" s="14" t="s">
        <v>11</v>
      </c>
      <c r="W89" s="14"/>
      <c r="X89" s="14"/>
      <c r="Y89" s="14"/>
      <c r="AA89" s="14" t="s">
        <v>12</v>
      </c>
      <c r="AB89" s="14"/>
      <c r="AC89" s="14"/>
      <c r="AD89" s="14"/>
      <c r="AF89" s="14" t="s">
        <v>7</v>
      </c>
      <c r="AG89" s="14"/>
      <c r="AH89" s="14"/>
      <c r="AI89" s="14"/>
    </row>
    <row r="90" spans="1:36">
      <c r="A90" s="10" t="s">
        <v>5</v>
      </c>
      <c r="B90" s="9" t="s">
        <v>6</v>
      </c>
      <c r="C90" s="9" t="s">
        <v>0</v>
      </c>
      <c r="D90" s="9" t="s">
        <v>1</v>
      </c>
      <c r="E90" s="9"/>
      <c r="F90" s="10" t="s">
        <v>5</v>
      </c>
      <c r="G90" s="9" t="s">
        <v>6</v>
      </c>
      <c r="H90" s="9" t="s">
        <v>0</v>
      </c>
      <c r="I90" s="9" t="s">
        <v>1</v>
      </c>
      <c r="J90" s="9"/>
      <c r="L90" s="9" t="s">
        <v>5</v>
      </c>
      <c r="M90" s="9" t="s">
        <v>6</v>
      </c>
      <c r="N90" s="9" t="s">
        <v>0</v>
      </c>
      <c r="O90" s="9" t="s">
        <v>1</v>
      </c>
      <c r="Q90" s="9" t="s">
        <v>5</v>
      </c>
      <c r="R90" s="9" t="s">
        <v>6</v>
      </c>
      <c r="S90" s="9" t="s">
        <v>0</v>
      </c>
      <c r="T90" s="9" t="s">
        <v>1</v>
      </c>
      <c r="U90" s="9"/>
      <c r="V90" s="9" t="s">
        <v>5</v>
      </c>
      <c r="W90" s="9" t="s">
        <v>6</v>
      </c>
      <c r="X90" s="9" t="s">
        <v>0</v>
      </c>
      <c r="Y90" s="9" t="s">
        <v>1</v>
      </c>
      <c r="Z90" s="9"/>
      <c r="AA90" s="9" t="s">
        <v>5</v>
      </c>
      <c r="AB90" s="9" t="s">
        <v>6</v>
      </c>
      <c r="AC90" s="9" t="s">
        <v>0</v>
      </c>
      <c r="AD90" s="9" t="s">
        <v>1</v>
      </c>
      <c r="AE90" s="9"/>
      <c r="AF90" s="9" t="s">
        <v>5</v>
      </c>
      <c r="AG90" s="9" t="s">
        <v>6</v>
      </c>
      <c r="AH90" s="9" t="s">
        <v>0</v>
      </c>
      <c r="AI90" s="9" t="s">
        <v>1</v>
      </c>
      <c r="AJ90" s="1"/>
    </row>
    <row r="91" spans="1:36">
      <c r="A91" s="10">
        <v>479018440.05434501</v>
      </c>
      <c r="B91">
        <v>0</v>
      </c>
      <c r="C91">
        <v>0.76040188710000001</v>
      </c>
      <c r="D91">
        <v>1.5139999390000001</v>
      </c>
      <c r="E91" s="9"/>
      <c r="F91" s="10">
        <v>479018440.05434501</v>
      </c>
      <c r="G91">
        <v>0</v>
      </c>
      <c r="H91">
        <v>0.76040188710000001</v>
      </c>
      <c r="I91">
        <v>1.400000095</v>
      </c>
      <c r="J91" s="9"/>
      <c r="K91" s="10"/>
      <c r="L91" s="10">
        <v>479018440.05434501</v>
      </c>
      <c r="M91">
        <v>0</v>
      </c>
      <c r="N91">
        <v>0.76040188710000001</v>
      </c>
      <c r="O91">
        <v>1.4049999710000001</v>
      </c>
      <c r="P91" s="10"/>
      <c r="Q91" s="10">
        <v>479018440.05434501</v>
      </c>
      <c r="R91">
        <v>0</v>
      </c>
      <c r="S91">
        <v>0.76040188710000001</v>
      </c>
      <c r="T91">
        <v>1.3989999289999999</v>
      </c>
      <c r="U91" s="10"/>
      <c r="V91" s="10">
        <v>479018440.05434501</v>
      </c>
      <c r="W91">
        <v>0</v>
      </c>
      <c r="X91">
        <v>0.76040188710000001</v>
      </c>
      <c r="Y91">
        <v>1.4260001179999999</v>
      </c>
      <c r="Z91" s="10"/>
      <c r="AA91" s="10">
        <v>479018440.05434501</v>
      </c>
      <c r="AB91">
        <v>0</v>
      </c>
      <c r="AC91">
        <v>0.76040188710000001</v>
      </c>
      <c r="AD91">
        <v>1.400000095</v>
      </c>
      <c r="AE91" s="10"/>
      <c r="AF91" s="10">
        <v>479018440.05434501</v>
      </c>
      <c r="AG91">
        <v>0</v>
      </c>
      <c r="AH91">
        <v>0.76040188710000001</v>
      </c>
      <c r="AI91">
        <v>1.4199998380000001</v>
      </c>
      <c r="AJ91" s="10"/>
    </row>
    <row r="92" spans="1:36">
      <c r="A92" s="10">
        <v>298347945.25085002</v>
      </c>
      <c r="B92">
        <v>1</v>
      </c>
      <c r="C92" s="1">
        <v>0.2402</v>
      </c>
      <c r="D92">
        <v>3.6709999999999998</v>
      </c>
      <c r="E92" s="9"/>
      <c r="F92" s="10">
        <v>479018440.05434501</v>
      </c>
      <c r="G92">
        <v>0</v>
      </c>
      <c r="H92">
        <v>0.76040188710000001</v>
      </c>
      <c r="I92">
        <v>1.400000095</v>
      </c>
      <c r="J92" s="9"/>
      <c r="K92" s="10"/>
      <c r="L92" s="10">
        <v>298347945.25085002</v>
      </c>
      <c r="M92">
        <v>1</v>
      </c>
      <c r="N92" s="1">
        <v>0.2402</v>
      </c>
      <c r="O92">
        <v>3.5590000000000002</v>
      </c>
      <c r="P92" s="10"/>
      <c r="Q92" s="10">
        <v>298347945.25085002</v>
      </c>
      <c r="R92">
        <v>1</v>
      </c>
      <c r="S92" s="1">
        <v>0.2402</v>
      </c>
      <c r="T92">
        <v>3.5230000000000001</v>
      </c>
      <c r="U92" s="10"/>
      <c r="V92" s="10">
        <v>298347945.25085002</v>
      </c>
      <c r="W92">
        <v>1</v>
      </c>
      <c r="X92" s="1">
        <v>0.2402</v>
      </c>
      <c r="Y92">
        <v>3.544</v>
      </c>
      <c r="Z92" s="10"/>
      <c r="AA92" s="10">
        <v>298347945.25085002</v>
      </c>
      <c r="AB92">
        <v>1</v>
      </c>
      <c r="AC92" s="1">
        <v>0.2402</v>
      </c>
      <c r="AD92">
        <v>3.548</v>
      </c>
      <c r="AE92" s="10"/>
      <c r="AF92" s="10">
        <v>299288495.337933</v>
      </c>
      <c r="AG92">
        <v>1</v>
      </c>
      <c r="AH92" s="1">
        <v>0.24696399999999999</v>
      </c>
      <c r="AI92">
        <v>3.5830000000000002</v>
      </c>
      <c r="AJ92" s="10"/>
    </row>
    <row r="93" spans="1:36">
      <c r="A93" s="10">
        <v>279679240.35319698</v>
      </c>
      <c r="B93">
        <v>2</v>
      </c>
      <c r="C93" s="1">
        <v>4.7301900000000001E-2</v>
      </c>
      <c r="D93">
        <v>5.2290000000000001</v>
      </c>
      <c r="E93" s="9"/>
      <c r="F93" s="10">
        <v>298347945.25085002</v>
      </c>
      <c r="G93">
        <v>1</v>
      </c>
      <c r="H93" s="1">
        <v>0.2402</v>
      </c>
      <c r="I93">
        <v>3.7040000000000002</v>
      </c>
      <c r="J93" s="9"/>
      <c r="K93" s="10"/>
      <c r="L93" s="10">
        <v>279679240.35319698</v>
      </c>
      <c r="M93">
        <v>2</v>
      </c>
      <c r="N93" s="1">
        <v>4.7301900000000001E-2</v>
      </c>
      <c r="O93">
        <v>5.0570000000000004</v>
      </c>
      <c r="P93" s="10"/>
      <c r="Q93" s="10">
        <v>279679240.35319698</v>
      </c>
      <c r="R93">
        <v>2</v>
      </c>
      <c r="S93" s="1">
        <v>4.7301900000000001E-2</v>
      </c>
      <c r="T93">
        <v>5.0039999999999996</v>
      </c>
      <c r="U93" s="10"/>
      <c r="V93" s="10">
        <v>279679240.35319698</v>
      </c>
      <c r="W93">
        <v>2</v>
      </c>
      <c r="X93" s="1">
        <v>4.7301900000000001E-2</v>
      </c>
      <c r="Y93">
        <v>5.0250000000000004</v>
      </c>
      <c r="Z93" s="10"/>
      <c r="AA93" s="10">
        <v>279679240.35319698</v>
      </c>
      <c r="AB93">
        <v>2</v>
      </c>
      <c r="AC93" s="1">
        <v>4.7301900000000001E-2</v>
      </c>
      <c r="AD93">
        <v>7.62</v>
      </c>
      <c r="AE93" s="10"/>
      <c r="AF93" s="10">
        <v>279824150.85923201</v>
      </c>
      <c r="AG93">
        <v>2</v>
      </c>
      <c r="AH93" s="1">
        <v>4.8497899999999997E-2</v>
      </c>
      <c r="AI93">
        <v>5.1109999999999998</v>
      </c>
      <c r="AJ93" s="10"/>
    </row>
    <row r="94" spans="1:36">
      <c r="A94" s="10">
        <v>274657484.29553902</v>
      </c>
      <c r="B94">
        <v>3</v>
      </c>
      <c r="C94" s="1">
        <v>1.6995099999999999E-2</v>
      </c>
      <c r="D94">
        <v>6.923</v>
      </c>
      <c r="E94" s="9"/>
      <c r="F94" s="10">
        <v>279657171.691535</v>
      </c>
      <c r="G94">
        <v>2</v>
      </c>
      <c r="H94" s="1">
        <v>4.7129600000000001E-2</v>
      </c>
      <c r="I94">
        <v>8.0239999999999991</v>
      </c>
      <c r="J94" s="9"/>
      <c r="K94" s="10"/>
      <c r="L94" s="10">
        <v>274653618.80958498</v>
      </c>
      <c r="M94">
        <v>3</v>
      </c>
      <c r="N94" s="1">
        <v>1.7199300000000001E-2</v>
      </c>
      <c r="O94">
        <v>6.702</v>
      </c>
      <c r="P94" s="10"/>
      <c r="Q94" s="10">
        <v>274657484.29553902</v>
      </c>
      <c r="R94">
        <v>3</v>
      </c>
      <c r="S94" s="1">
        <v>1.6995099999999999E-2</v>
      </c>
      <c r="T94">
        <v>6.61</v>
      </c>
      <c r="U94" s="10"/>
      <c r="V94" s="10">
        <v>274657484.29553902</v>
      </c>
      <c r="W94">
        <v>3</v>
      </c>
      <c r="X94" s="1">
        <v>1.6995099999999999E-2</v>
      </c>
      <c r="Y94">
        <v>6.6079999999999997</v>
      </c>
      <c r="Z94" s="10"/>
      <c r="AA94" s="10">
        <v>274657484.29553902</v>
      </c>
      <c r="AB94">
        <v>3</v>
      </c>
      <c r="AC94" s="1">
        <v>1.6995099999999999E-2</v>
      </c>
      <c r="AD94">
        <v>12.326000000000001</v>
      </c>
      <c r="AE94" s="10"/>
      <c r="AF94" s="10">
        <v>274750370.34996903</v>
      </c>
      <c r="AG94">
        <v>3</v>
      </c>
      <c r="AH94" s="1">
        <v>1.75493E-2</v>
      </c>
      <c r="AI94">
        <v>6.8470000000000004</v>
      </c>
      <c r="AJ94" s="10"/>
    </row>
    <row r="95" spans="1:36">
      <c r="A95" s="10">
        <v>272779879.87628698</v>
      </c>
      <c r="B95">
        <v>4</v>
      </c>
      <c r="C95" s="1">
        <v>6.8686499999999996E-3</v>
      </c>
      <c r="D95">
        <v>8.6549999999999994</v>
      </c>
      <c r="E95" s="9"/>
      <c r="F95" s="10">
        <v>274660954.873245</v>
      </c>
      <c r="G95">
        <v>3</v>
      </c>
      <c r="H95" s="1">
        <v>1.7063499999999999E-2</v>
      </c>
      <c r="I95">
        <v>13.038</v>
      </c>
      <c r="J95" s="9"/>
      <c r="K95" s="10"/>
      <c r="L95" s="10">
        <v>272789339.73041898</v>
      </c>
      <c r="M95">
        <v>4</v>
      </c>
      <c r="N95" s="1">
        <v>6.9621099999999997E-3</v>
      </c>
      <c r="O95">
        <v>8.3330000000000002</v>
      </c>
      <c r="P95" s="10"/>
      <c r="Q95" s="10">
        <v>272780216.57068199</v>
      </c>
      <c r="R95">
        <v>4</v>
      </c>
      <c r="S95" s="1">
        <v>6.9191000000000001E-3</v>
      </c>
      <c r="T95">
        <v>8.2469999999999999</v>
      </c>
      <c r="U95" s="10"/>
      <c r="V95" s="10">
        <v>272779879.87628698</v>
      </c>
      <c r="W95">
        <v>4</v>
      </c>
      <c r="X95" s="1">
        <v>6.8686499999999996E-3</v>
      </c>
      <c r="Y95">
        <v>8.2509999999999994</v>
      </c>
      <c r="Z95" s="10"/>
      <c r="AA95" s="10">
        <v>272779879.87628698</v>
      </c>
      <c r="AB95">
        <v>4</v>
      </c>
      <c r="AC95" s="1">
        <v>6.8686499999999996E-3</v>
      </c>
      <c r="AD95">
        <v>17.934000000000001</v>
      </c>
      <c r="AE95" s="10"/>
      <c r="AF95" s="10">
        <v>272823639.87423402</v>
      </c>
      <c r="AG95">
        <v>4</v>
      </c>
      <c r="AH95" s="1">
        <v>6.9314499999999996E-3</v>
      </c>
      <c r="AI95">
        <v>8.5630000000000006</v>
      </c>
      <c r="AJ95" s="10"/>
    </row>
    <row r="96" spans="1:36">
      <c r="A96" s="10">
        <v>272099379.94805902</v>
      </c>
      <c r="B96">
        <v>5</v>
      </c>
      <c r="C96" s="1">
        <v>2.91267E-3</v>
      </c>
      <c r="D96">
        <v>10.321999999999999</v>
      </c>
      <c r="E96" s="9"/>
      <c r="F96" s="10">
        <v>272793579.03831702</v>
      </c>
      <c r="G96">
        <v>4</v>
      </c>
      <c r="H96" s="1">
        <v>6.9247900000000001E-3</v>
      </c>
      <c r="I96">
        <v>18.43</v>
      </c>
      <c r="J96" s="9"/>
      <c r="K96" s="10"/>
      <c r="L96" s="10">
        <v>272104845.85309201</v>
      </c>
      <c r="M96">
        <v>5</v>
      </c>
      <c r="N96" s="1">
        <v>2.91114E-3</v>
      </c>
      <c r="O96">
        <v>9.9489999999999998</v>
      </c>
      <c r="P96" s="10"/>
      <c r="Q96" s="10">
        <v>272099242.36693698</v>
      </c>
      <c r="R96">
        <v>5</v>
      </c>
      <c r="S96" s="1">
        <v>2.9244700000000002E-3</v>
      </c>
      <c r="T96">
        <v>9.8569999999999993</v>
      </c>
      <c r="U96" s="10"/>
      <c r="V96" s="10">
        <v>272098728.97716999</v>
      </c>
      <c r="W96">
        <v>5</v>
      </c>
      <c r="X96" s="1">
        <v>2.91056E-3</v>
      </c>
      <c r="Y96">
        <v>9.8940000000000001</v>
      </c>
      <c r="Z96" s="10"/>
      <c r="AA96" s="10">
        <v>272099379.94805902</v>
      </c>
      <c r="AB96">
        <v>5</v>
      </c>
      <c r="AC96" s="1">
        <v>2.91267E-3</v>
      </c>
      <c r="AD96">
        <v>23.786999999999999</v>
      </c>
      <c r="AE96" s="10"/>
      <c r="AF96" s="10">
        <v>272123590.31743699</v>
      </c>
      <c r="AG96">
        <v>5</v>
      </c>
      <c r="AH96" s="1">
        <v>3.0167800000000002E-3</v>
      </c>
      <c r="AI96">
        <v>10.225</v>
      </c>
      <c r="AJ96" s="10"/>
    </row>
    <row r="97" spans="1:36">
      <c r="A97" s="10">
        <v>271821674.095029</v>
      </c>
      <c r="B97">
        <v>6</v>
      </c>
      <c r="C97" s="1">
        <v>1.3483200000000001E-3</v>
      </c>
      <c r="D97">
        <v>11.994999999999999</v>
      </c>
      <c r="E97" s="9"/>
      <c r="F97" s="10">
        <v>272115231.38458103</v>
      </c>
      <c r="G97">
        <v>5</v>
      </c>
      <c r="H97" s="1">
        <v>3.0069900000000002E-3</v>
      </c>
      <c r="I97">
        <v>24.05</v>
      </c>
      <c r="J97" s="9"/>
      <c r="K97" s="10"/>
      <c r="L97" s="10">
        <v>271823314.32239503</v>
      </c>
      <c r="M97">
        <v>6</v>
      </c>
      <c r="N97" s="1">
        <v>1.33778E-3</v>
      </c>
      <c r="O97">
        <v>11.522</v>
      </c>
      <c r="P97" s="10"/>
      <c r="Q97" s="10">
        <v>271823007.84892303</v>
      </c>
      <c r="R97">
        <v>6</v>
      </c>
      <c r="S97" s="1">
        <v>1.3407200000000001E-3</v>
      </c>
      <c r="T97">
        <v>11.474</v>
      </c>
      <c r="U97" s="10"/>
      <c r="V97" s="10">
        <v>271820248.97264397</v>
      </c>
      <c r="W97">
        <v>6</v>
      </c>
      <c r="X97" s="1">
        <v>1.3474100000000001E-3</v>
      </c>
      <c r="Y97">
        <v>11.471</v>
      </c>
      <c r="Z97" s="10"/>
      <c r="AA97" s="10">
        <v>271821952.90490001</v>
      </c>
      <c r="AB97">
        <v>6</v>
      </c>
      <c r="AC97" s="1">
        <v>1.35213E-3</v>
      </c>
      <c r="AD97">
        <v>29.321999999999999</v>
      </c>
      <c r="AE97" s="10"/>
      <c r="AF97" s="10">
        <v>271839866.542373</v>
      </c>
      <c r="AG97">
        <v>6</v>
      </c>
      <c r="AH97" s="1">
        <v>1.4366299999999999E-3</v>
      </c>
      <c r="AI97">
        <v>11.824</v>
      </c>
      <c r="AJ97" s="10"/>
    </row>
    <row r="98" spans="1:36">
      <c r="A98" s="10">
        <v>271703904.19853801</v>
      </c>
      <c r="B98">
        <v>7</v>
      </c>
      <c r="C98" s="1">
        <v>6.1655100000000001E-4</v>
      </c>
      <c r="D98">
        <v>13.571999999999999</v>
      </c>
      <c r="E98" s="9"/>
      <c r="F98" s="10">
        <v>272793579.03831702</v>
      </c>
      <c r="G98">
        <v>4</v>
      </c>
      <c r="H98" s="1">
        <v>6.9247900000000001E-3</v>
      </c>
      <c r="I98">
        <v>18.43</v>
      </c>
      <c r="J98" s="9"/>
      <c r="K98" s="10"/>
      <c r="L98" s="10">
        <v>271702945.994663</v>
      </c>
      <c r="M98">
        <v>7</v>
      </c>
      <c r="N98" s="1">
        <v>6.2428699999999995E-4</v>
      </c>
      <c r="O98">
        <v>13.129</v>
      </c>
      <c r="P98" s="10"/>
      <c r="Q98" s="10">
        <v>271703735.26064098</v>
      </c>
      <c r="R98">
        <v>7</v>
      </c>
      <c r="S98" s="1">
        <v>6.1939299999999998E-4</v>
      </c>
      <c r="T98">
        <v>13.039</v>
      </c>
      <c r="U98" s="10"/>
      <c r="V98" s="10">
        <v>271703896.01833999</v>
      </c>
      <c r="W98">
        <v>7</v>
      </c>
      <c r="X98" s="1">
        <v>6.1731899999999996E-4</v>
      </c>
      <c r="Y98">
        <v>13.067</v>
      </c>
      <c r="Z98" s="10"/>
      <c r="AA98" s="10">
        <v>271703810.11390799</v>
      </c>
      <c r="AB98">
        <v>7</v>
      </c>
      <c r="AC98" s="1">
        <v>6.2224899999999996E-4</v>
      </c>
      <c r="AD98">
        <v>34.61</v>
      </c>
      <c r="AE98" s="10"/>
      <c r="AF98" s="10">
        <v>271712291.451563</v>
      </c>
      <c r="AG98">
        <v>7</v>
      </c>
      <c r="AH98" s="1">
        <v>6.5616299999999997E-4</v>
      </c>
      <c r="AI98">
        <v>13.423999999999999</v>
      </c>
      <c r="AJ98" s="10"/>
    </row>
    <row r="99" spans="1:36">
      <c r="A99" s="10">
        <v>271643643.15735501</v>
      </c>
      <c r="B99">
        <v>8</v>
      </c>
      <c r="C99" s="1">
        <v>2.2329000000000001E-4</v>
      </c>
      <c r="D99">
        <v>15.94</v>
      </c>
      <c r="E99" s="9"/>
      <c r="F99" s="10">
        <v>272115231.38458103</v>
      </c>
      <c r="G99">
        <v>5</v>
      </c>
      <c r="H99" s="1">
        <v>3.0069900000000002E-3</v>
      </c>
      <c r="I99">
        <v>24.05</v>
      </c>
      <c r="J99" s="9"/>
      <c r="K99" s="10"/>
      <c r="L99" s="10">
        <v>271646837.65011001</v>
      </c>
      <c r="M99">
        <v>8</v>
      </c>
      <c r="N99" s="1">
        <v>2.45827E-4</v>
      </c>
      <c r="O99">
        <v>15.163</v>
      </c>
      <c r="P99" s="10"/>
      <c r="Q99" s="10">
        <v>271644496.96633101</v>
      </c>
      <c r="R99">
        <v>8</v>
      </c>
      <c r="S99" s="1">
        <v>2.3067899999999999E-4</v>
      </c>
      <c r="T99">
        <v>15.478</v>
      </c>
      <c r="U99" s="10"/>
      <c r="V99" s="10">
        <v>271642851.04886198</v>
      </c>
      <c r="W99">
        <v>8</v>
      </c>
      <c r="X99" s="1">
        <v>2.1547800000000001E-4</v>
      </c>
      <c r="Y99">
        <v>15.499000000000001</v>
      </c>
      <c r="Z99" s="10"/>
      <c r="AA99" s="10">
        <v>271643098.41639</v>
      </c>
      <c r="AB99">
        <v>8</v>
      </c>
      <c r="AC99" s="1">
        <v>2.1982600000000001E-4</v>
      </c>
      <c r="AD99">
        <v>44.433999999999997</v>
      </c>
      <c r="AE99" s="10"/>
      <c r="AF99" s="10">
        <v>271649489.36291301</v>
      </c>
      <c r="AG99">
        <v>8</v>
      </c>
      <c r="AH99" s="1">
        <v>2.9433500000000001E-4</v>
      </c>
      <c r="AI99">
        <v>15.442</v>
      </c>
      <c r="AJ99" s="10"/>
    </row>
    <row r="100" spans="1:36">
      <c r="A100" s="10">
        <v>271633516.23401999</v>
      </c>
      <c r="B100">
        <v>9</v>
      </c>
      <c r="C100" s="1">
        <v>4.5900299999999998E-5</v>
      </c>
      <c r="D100">
        <v>18.452000000000002</v>
      </c>
      <c r="E100" s="9"/>
      <c r="F100" s="10">
        <v>272115231.38458103</v>
      </c>
      <c r="G100">
        <v>5</v>
      </c>
      <c r="H100" s="1">
        <v>3.0069900000000002E-3</v>
      </c>
      <c r="I100">
        <v>24.05</v>
      </c>
      <c r="J100" s="9"/>
      <c r="K100" s="10"/>
      <c r="L100" s="10">
        <v>271633774.57845801</v>
      </c>
      <c r="M100">
        <v>9</v>
      </c>
      <c r="N100" s="1">
        <v>5.0365899999999998E-5</v>
      </c>
      <c r="O100">
        <v>17.693000000000001</v>
      </c>
      <c r="P100" s="10"/>
      <c r="Q100" s="10">
        <v>271633608.92870402</v>
      </c>
      <c r="R100">
        <v>9</v>
      </c>
      <c r="S100" s="1">
        <v>4.4060100000000002E-5</v>
      </c>
      <c r="T100">
        <v>17.943000000000001</v>
      </c>
      <c r="U100" s="10"/>
      <c r="V100" s="10">
        <v>271633428.56508899</v>
      </c>
      <c r="W100">
        <v>9</v>
      </c>
      <c r="X100" s="1">
        <v>4.4181799999999998E-5</v>
      </c>
      <c r="Y100">
        <v>18.021999999999998</v>
      </c>
      <c r="Z100" s="10"/>
      <c r="AA100" s="10">
        <v>271633575.104864</v>
      </c>
      <c r="AB100">
        <v>9</v>
      </c>
      <c r="AC100" s="1">
        <v>4.7080799999999998E-5</v>
      </c>
      <c r="AD100">
        <v>55.381</v>
      </c>
      <c r="AE100" s="10"/>
      <c r="AF100" s="10">
        <v>271637277.461532</v>
      </c>
      <c r="AG100">
        <v>9</v>
      </c>
      <c r="AH100" s="1">
        <v>9.5058700000000005E-5</v>
      </c>
      <c r="AI100">
        <v>16.981999999999999</v>
      </c>
      <c r="AJ100" s="10"/>
    </row>
    <row r="101" spans="1:36">
      <c r="A101" s="10">
        <v>271631606.927203</v>
      </c>
      <c r="B101">
        <v>10</v>
      </c>
      <c r="C101" s="1">
        <v>8.5412599999999996E-6</v>
      </c>
      <c r="D101">
        <v>22.116</v>
      </c>
      <c r="E101" s="9"/>
      <c r="F101" s="10">
        <v>271832299.80685103</v>
      </c>
      <c r="G101">
        <v>6</v>
      </c>
      <c r="H101" s="1">
        <v>1.3666100000000001E-3</v>
      </c>
      <c r="I101">
        <v>28.937999999999999</v>
      </c>
      <c r="J101" s="9"/>
      <c r="K101" s="10"/>
      <c r="L101" s="10">
        <v>271631540.28019398</v>
      </c>
      <c r="M101">
        <v>10</v>
      </c>
      <c r="N101" s="1">
        <v>8.0459799999999992E-6</v>
      </c>
      <c r="O101">
        <v>21.027000000000001</v>
      </c>
      <c r="P101" s="10"/>
      <c r="Q101" s="10">
        <v>271631521.654966</v>
      </c>
      <c r="R101">
        <v>10</v>
      </c>
      <c r="S101" s="7">
        <v>6.6499700000000003E-6</v>
      </c>
      <c r="T101" s="6">
        <v>21.96</v>
      </c>
      <c r="U101" s="10"/>
      <c r="V101" s="10">
        <v>271631503.57693398</v>
      </c>
      <c r="W101" s="6">
        <v>10</v>
      </c>
      <c r="X101" s="7">
        <v>5.23677E-6</v>
      </c>
      <c r="Y101" s="6">
        <v>23.257000000000001</v>
      </c>
      <c r="Z101" s="10"/>
      <c r="AA101" s="10">
        <v>271631546.13574302</v>
      </c>
      <c r="AB101" s="6">
        <v>10</v>
      </c>
      <c r="AC101" s="7">
        <v>6.5251899999999999E-6</v>
      </c>
      <c r="AD101" s="6">
        <v>79.501999999999995</v>
      </c>
      <c r="AE101" s="10"/>
      <c r="AF101" s="10">
        <v>271632090.21796399</v>
      </c>
      <c r="AG101" s="6">
        <v>10</v>
      </c>
      <c r="AH101" s="1">
        <v>2.2989900000000002E-5</v>
      </c>
      <c r="AI101">
        <v>19.696999999999999</v>
      </c>
      <c r="AJ101" s="10"/>
    </row>
    <row r="102" spans="1:36">
      <c r="A102" s="10">
        <v>271631374.60239297</v>
      </c>
      <c r="B102">
        <v>11</v>
      </c>
      <c r="C102" s="1">
        <v>1.8353E-6</v>
      </c>
      <c r="D102">
        <v>27.745999999999999</v>
      </c>
      <c r="E102" s="9"/>
      <c r="F102" s="10">
        <v>271709093.52986598</v>
      </c>
      <c r="G102">
        <v>7</v>
      </c>
      <c r="H102" s="1">
        <v>6.4345400000000001E-4</v>
      </c>
      <c r="I102">
        <v>34.295999999999999</v>
      </c>
      <c r="J102" s="9"/>
      <c r="K102" s="10"/>
      <c r="L102" s="10">
        <v>271631366.90505201</v>
      </c>
      <c r="M102">
        <v>11</v>
      </c>
      <c r="N102" s="1">
        <v>8.6550199999999996E-7</v>
      </c>
      <c r="O102">
        <v>26.244</v>
      </c>
      <c r="P102" s="10"/>
      <c r="Q102" s="10">
        <v>271631364.05782002</v>
      </c>
      <c r="R102">
        <v>11</v>
      </c>
      <c r="S102" s="7">
        <v>5.5899100000000003E-7</v>
      </c>
      <c r="T102" s="6">
        <v>28.271999999999998</v>
      </c>
      <c r="U102" s="10"/>
      <c r="V102" s="10">
        <v>271631362.27468401</v>
      </c>
      <c r="W102" s="6">
        <v>11</v>
      </c>
      <c r="X102" s="7">
        <v>7.1872400000000002E-7</v>
      </c>
      <c r="Y102" s="6">
        <v>29.638999999999999</v>
      </c>
      <c r="Z102" s="10"/>
      <c r="AA102" s="10">
        <v>271631379.92318898</v>
      </c>
      <c r="AB102" s="6">
        <v>11</v>
      </c>
      <c r="AC102" s="7">
        <v>9.4741399999999999E-7</v>
      </c>
      <c r="AD102" s="6">
        <v>115.979</v>
      </c>
      <c r="AE102" s="10"/>
      <c r="AF102" s="10">
        <v>271631418.25967097</v>
      </c>
      <c r="AG102" s="6">
        <v>11</v>
      </c>
      <c r="AH102" s="1">
        <v>5.0651400000000003E-6</v>
      </c>
      <c r="AI102">
        <v>23.382000000000001</v>
      </c>
      <c r="AJ102" s="10"/>
    </row>
    <row r="103" spans="1:36">
      <c r="A103" s="10">
        <v>271631358.26479</v>
      </c>
      <c r="B103">
        <v>12</v>
      </c>
      <c r="C103" s="1">
        <v>1.57781E-7</v>
      </c>
      <c r="D103">
        <v>34.098999999999997</v>
      </c>
      <c r="E103" s="9"/>
      <c r="F103" s="10">
        <v>271644974.80155897</v>
      </c>
      <c r="G103">
        <v>8</v>
      </c>
      <c r="H103" s="1">
        <v>2.6583200000000003E-4</v>
      </c>
      <c r="I103">
        <v>44.895000000000003</v>
      </c>
      <c r="J103" s="9"/>
      <c r="K103" s="10"/>
      <c r="L103" s="10">
        <v>271631357.52889901</v>
      </c>
      <c r="M103">
        <v>12</v>
      </c>
      <c r="N103" s="1">
        <v>7.7819500000000004E-8</v>
      </c>
      <c r="O103">
        <v>33.238999999999997</v>
      </c>
      <c r="P103" s="10"/>
      <c r="Q103" s="10">
        <v>271631357.47229099</v>
      </c>
      <c r="R103">
        <v>12</v>
      </c>
      <c r="S103" s="7">
        <v>4.8140800000000003E-8</v>
      </c>
      <c r="T103" s="6">
        <v>35.341000000000001</v>
      </c>
      <c r="U103" s="10"/>
      <c r="V103" s="10">
        <v>271631357.43981999</v>
      </c>
      <c r="W103" s="6">
        <v>12</v>
      </c>
      <c r="X103" s="7">
        <v>5.8621300000000002E-8</v>
      </c>
      <c r="Y103" s="6">
        <v>36.524000000000001</v>
      </c>
      <c r="Z103" s="10"/>
      <c r="AA103" s="10">
        <v>271631360.03501397</v>
      </c>
      <c r="AB103" s="6">
        <v>12</v>
      </c>
      <c r="AC103" s="7">
        <v>9.8612600000000003E-8</v>
      </c>
      <c r="AD103" s="6">
        <v>156.893</v>
      </c>
      <c r="AE103" s="10"/>
      <c r="AF103" s="10">
        <v>271631360.59039801</v>
      </c>
      <c r="AG103" s="6">
        <v>12</v>
      </c>
      <c r="AH103" s="1">
        <v>3.7677699999999999E-7</v>
      </c>
      <c r="AI103">
        <v>28.91</v>
      </c>
      <c r="AJ103" s="10"/>
    </row>
    <row r="104" spans="1:36">
      <c r="A104" s="10">
        <v>271631357.32539201</v>
      </c>
      <c r="B104">
        <v>13</v>
      </c>
      <c r="C104" s="1">
        <v>1.38306E-8</v>
      </c>
      <c r="D104">
        <v>41.658000000000001</v>
      </c>
      <c r="E104" s="9"/>
      <c r="F104" s="10">
        <v>271634022.05339098</v>
      </c>
      <c r="G104">
        <v>9</v>
      </c>
      <c r="H104" s="1">
        <v>5.1855299999999998E-5</v>
      </c>
      <c r="I104">
        <v>56.482999999999997</v>
      </c>
      <c r="J104" s="9"/>
      <c r="K104" s="10"/>
      <c r="L104" s="10">
        <v>271631357.31717497</v>
      </c>
      <c r="M104">
        <v>13</v>
      </c>
      <c r="N104" s="1">
        <v>6.0200100000000002E-9</v>
      </c>
      <c r="O104">
        <v>40.421999999999997</v>
      </c>
      <c r="P104" s="13"/>
      <c r="Q104" s="10">
        <v>271631357.314668</v>
      </c>
      <c r="R104">
        <v>13</v>
      </c>
      <c r="S104" s="7">
        <v>3.8421600000000003E-9</v>
      </c>
      <c r="T104" s="6">
        <v>42.561</v>
      </c>
      <c r="U104" s="10"/>
      <c r="V104" s="10">
        <v>271631357.31544399</v>
      </c>
      <c r="W104" s="6">
        <v>13</v>
      </c>
      <c r="X104" s="7">
        <v>4.7811200000000001E-9</v>
      </c>
      <c r="Y104" s="6">
        <v>43.847999999999999</v>
      </c>
      <c r="Z104" s="10"/>
      <c r="AA104" s="10">
        <v>271631357.36103803</v>
      </c>
      <c r="AB104" s="6">
        <v>13</v>
      </c>
      <c r="AC104" s="7">
        <v>9.2010100000000007E-9</v>
      </c>
      <c r="AD104" s="6">
        <v>194.70400000000001</v>
      </c>
      <c r="AE104" s="10"/>
      <c r="AF104" s="10">
        <v>271631358.65669698</v>
      </c>
      <c r="AG104" s="6">
        <v>13</v>
      </c>
      <c r="AH104" s="1">
        <v>9.0740000000000004E-8</v>
      </c>
      <c r="AI104">
        <v>35.832999999999998</v>
      </c>
      <c r="AJ104" s="10"/>
    </row>
    <row r="105" spans="1:36">
      <c r="A105" s="10">
        <v>271631357.31326598</v>
      </c>
      <c r="B105">
        <v>14</v>
      </c>
      <c r="C105" s="1">
        <v>1.2425E-9</v>
      </c>
      <c r="D105">
        <v>49.043999999999997</v>
      </c>
      <c r="E105" s="9"/>
      <c r="F105" s="10">
        <v>271631686.04361397</v>
      </c>
      <c r="G105">
        <v>10</v>
      </c>
      <c r="H105" s="1">
        <v>9.7408399999999994E-6</v>
      </c>
      <c r="I105">
        <v>76.771000000000001</v>
      </c>
      <c r="J105" s="9"/>
      <c r="K105" s="10"/>
      <c r="L105" s="10">
        <v>271631357.31717497</v>
      </c>
      <c r="M105">
        <v>14</v>
      </c>
      <c r="N105" s="1">
        <v>6.0200100000000002E-9</v>
      </c>
      <c r="O105">
        <v>54.847999999999999</v>
      </c>
      <c r="P105" s="10"/>
      <c r="Q105" s="10">
        <v>271631357.31313998</v>
      </c>
      <c r="R105">
        <v>14</v>
      </c>
      <c r="S105" s="7">
        <v>3.8054100000000002E-10</v>
      </c>
      <c r="T105" s="6">
        <v>50.892000000000003</v>
      </c>
      <c r="U105" s="10"/>
      <c r="V105" s="10">
        <v>271631357.31313503</v>
      </c>
      <c r="W105" s="6">
        <v>14</v>
      </c>
      <c r="X105" s="7">
        <v>4.0279600000000001E-10</v>
      </c>
      <c r="Y105" s="6">
        <v>54.201000000000001</v>
      </c>
      <c r="Z105" s="10"/>
      <c r="AA105" s="10">
        <v>271631357.313196</v>
      </c>
      <c r="AB105" s="6">
        <v>14</v>
      </c>
      <c r="AC105" s="7">
        <v>8.0823899999999998E-10</v>
      </c>
      <c r="AD105" s="6">
        <v>203.417</v>
      </c>
      <c r="AE105" s="10"/>
      <c r="AF105" s="10">
        <v>271631358.65669698</v>
      </c>
      <c r="AG105" s="6">
        <v>14</v>
      </c>
      <c r="AH105" s="1">
        <v>9.0740000000000004E-8</v>
      </c>
      <c r="AI105">
        <v>53.726999999999997</v>
      </c>
      <c r="AJ105" s="10"/>
    </row>
    <row r="106" spans="1:36">
      <c r="A106" s="10">
        <v>271631357.31310302</v>
      </c>
      <c r="B106">
        <v>15</v>
      </c>
      <c r="C106" s="1">
        <v>1.0795999999999999E-10</v>
      </c>
      <c r="D106">
        <v>56.472000000000001</v>
      </c>
      <c r="E106" s="9"/>
      <c r="F106" s="10">
        <v>271631375.16017902</v>
      </c>
      <c r="G106">
        <v>11</v>
      </c>
      <c r="H106" s="1">
        <v>8.5148299999999998E-7</v>
      </c>
      <c r="I106">
        <v>110.89</v>
      </c>
      <c r="J106" s="9"/>
      <c r="K106" s="10"/>
      <c r="L106" s="10">
        <v>271631357.31717497</v>
      </c>
      <c r="M106">
        <v>15</v>
      </c>
      <c r="N106" s="1">
        <v>6.0200100000000002E-9</v>
      </c>
      <c r="O106">
        <v>57.524000000000001</v>
      </c>
      <c r="P106" s="10"/>
      <c r="Q106" s="10">
        <v>271631357.31309801</v>
      </c>
      <c r="R106">
        <v>15</v>
      </c>
      <c r="S106" s="7">
        <v>3.4464900000000001E-11</v>
      </c>
      <c r="T106" s="6">
        <v>58.921999999999997</v>
      </c>
      <c r="U106" s="10"/>
      <c r="V106" s="10">
        <v>271631357.31309903</v>
      </c>
      <c r="W106" s="6">
        <v>15</v>
      </c>
      <c r="X106" s="7">
        <v>3.7705399999999999E-11</v>
      </c>
      <c r="Y106" s="6">
        <v>61.96</v>
      </c>
      <c r="Z106" s="10"/>
      <c r="AA106" s="10">
        <v>271631357.31310201</v>
      </c>
      <c r="AB106" s="6">
        <v>15</v>
      </c>
      <c r="AC106" s="7">
        <v>8.3104399999999996E-11</v>
      </c>
      <c r="AD106" s="6">
        <v>211.88</v>
      </c>
      <c r="AE106" s="10"/>
      <c r="AF106" s="10">
        <v>271631358.513156</v>
      </c>
      <c r="AG106" s="6">
        <v>15</v>
      </c>
      <c r="AH106" s="1">
        <v>9.0740000000000004E-8</v>
      </c>
      <c r="AI106">
        <v>59.74</v>
      </c>
      <c r="AJ106" s="10"/>
    </row>
    <row r="107" spans="1:36">
      <c r="A107" s="10">
        <v>271631357.31309998</v>
      </c>
      <c r="B107">
        <v>16</v>
      </c>
      <c r="C107" s="1">
        <v>1.0644300000000001E-11</v>
      </c>
      <c r="D107">
        <v>65.355000000000004</v>
      </c>
      <c r="E107" s="9"/>
      <c r="F107" s="10">
        <v>271631357.51753902</v>
      </c>
      <c r="G107">
        <v>12</v>
      </c>
      <c r="H107" s="1">
        <v>7.33646E-8</v>
      </c>
      <c r="I107">
        <v>152.17500000000001</v>
      </c>
      <c r="J107" s="9"/>
      <c r="K107" s="10"/>
      <c r="L107" s="10">
        <v>271631357.31321901</v>
      </c>
      <c r="M107">
        <v>16</v>
      </c>
      <c r="N107" s="1">
        <v>5.3951999999999997E-9</v>
      </c>
      <c r="O107">
        <v>63.295000000000002</v>
      </c>
      <c r="P107" s="10"/>
      <c r="Q107" s="10">
        <v>271631357.313097</v>
      </c>
      <c r="R107">
        <v>16</v>
      </c>
      <c r="S107" s="7">
        <v>2.92485E-12</v>
      </c>
      <c r="T107" s="6">
        <v>67.95</v>
      </c>
      <c r="U107" s="10"/>
      <c r="V107" s="10">
        <v>271631357.313097</v>
      </c>
      <c r="W107" s="6">
        <v>16</v>
      </c>
      <c r="X107" s="7">
        <v>3.3058200000000001E-12</v>
      </c>
      <c r="Y107" s="6">
        <v>70.143000000000001</v>
      </c>
      <c r="Z107" s="10"/>
      <c r="AA107" s="10">
        <v>271631357.31309801</v>
      </c>
      <c r="AB107" s="6">
        <v>16</v>
      </c>
      <c r="AC107" s="7">
        <v>1.38358E-11</v>
      </c>
      <c r="AD107" s="6">
        <v>225.20500000000001</v>
      </c>
      <c r="AE107" s="10"/>
      <c r="AF107" s="10">
        <v>271631357.32616502</v>
      </c>
      <c r="AG107" s="6">
        <v>16</v>
      </c>
      <c r="AH107" s="1">
        <v>7.4959000000000003E-8</v>
      </c>
      <c r="AI107">
        <v>64.843999999999994</v>
      </c>
      <c r="AJ107" s="10"/>
    </row>
    <row r="108" spans="1:36">
      <c r="A108" s="10">
        <v>271631357.31309801</v>
      </c>
      <c r="B108">
        <v>17</v>
      </c>
      <c r="C108" s="1">
        <v>8.9897500000000005E-12</v>
      </c>
      <c r="D108">
        <v>74.016999999999996</v>
      </c>
      <c r="E108" s="9"/>
      <c r="F108" s="10">
        <v>271631357.31628501</v>
      </c>
      <c r="G108">
        <v>13</v>
      </c>
      <c r="H108" s="1">
        <v>5.5744600000000002E-9</v>
      </c>
      <c r="I108">
        <v>162.483</v>
      </c>
      <c r="J108" s="9"/>
      <c r="K108" s="10"/>
      <c r="L108" s="10">
        <v>271631357.31321901</v>
      </c>
      <c r="M108">
        <v>17</v>
      </c>
      <c r="N108" s="1">
        <v>5.3951999999999997E-9</v>
      </c>
      <c r="O108">
        <v>80.603999999999999</v>
      </c>
      <c r="P108" s="10"/>
      <c r="Q108" s="10">
        <v>271631357.313097</v>
      </c>
      <c r="R108">
        <v>17</v>
      </c>
      <c r="S108" s="7">
        <v>2.49984E-13</v>
      </c>
      <c r="T108" s="6">
        <v>79.069000000000003</v>
      </c>
      <c r="U108" s="10"/>
      <c r="V108" s="10">
        <v>271631357.313097</v>
      </c>
      <c r="W108" s="6">
        <v>17</v>
      </c>
      <c r="X108" s="7">
        <v>3.3058200000000001E-12</v>
      </c>
      <c r="Y108" s="6">
        <v>109.09699999999999</v>
      </c>
      <c r="Z108" s="10"/>
      <c r="AA108" s="10">
        <v>271631357.31309801</v>
      </c>
      <c r="AB108" s="6">
        <v>17</v>
      </c>
      <c r="AC108" s="7">
        <v>1.38358E-11</v>
      </c>
      <c r="AD108" s="6">
        <v>257.74099999999999</v>
      </c>
      <c r="AE108" s="10"/>
      <c r="AF108" s="10">
        <v>271631357.31433702</v>
      </c>
      <c r="AG108" s="6">
        <v>17</v>
      </c>
      <c r="AH108" s="1">
        <v>4.45514E-9</v>
      </c>
      <c r="AI108">
        <v>71.165999999999997</v>
      </c>
      <c r="AJ108" s="10"/>
    </row>
    <row r="109" spans="1:36">
      <c r="A109" s="10">
        <v>271631357.31309801</v>
      </c>
      <c r="B109">
        <v>18</v>
      </c>
      <c r="C109" s="1">
        <v>6.9897500000000002E-12</v>
      </c>
      <c r="D109">
        <v>107.60899999999999</v>
      </c>
      <c r="E109" s="9"/>
      <c r="F109" s="10">
        <v>271631357.31401098</v>
      </c>
      <c r="G109">
        <v>14</v>
      </c>
      <c r="H109" s="1">
        <v>7.1158100000000005E-10</v>
      </c>
      <c r="I109">
        <v>174.209</v>
      </c>
      <c r="J109" s="9"/>
      <c r="K109" s="10"/>
      <c r="L109" s="10">
        <v>271631357.31321901</v>
      </c>
      <c r="M109">
        <v>18</v>
      </c>
      <c r="N109" s="1">
        <v>5.3951999999999997E-9</v>
      </c>
      <c r="O109">
        <v>82.8</v>
      </c>
      <c r="P109" s="10"/>
      <c r="S109" s="6"/>
      <c r="T109" s="6"/>
      <c r="U109" s="10"/>
      <c r="V109" s="10">
        <v>271631357.313097</v>
      </c>
      <c r="W109" s="6">
        <v>18</v>
      </c>
      <c r="X109" s="7">
        <v>3.3058200000000001E-12</v>
      </c>
      <c r="Y109" s="6">
        <v>115.39</v>
      </c>
      <c r="Z109" s="10"/>
      <c r="AA109" s="10">
        <v>271631357.31309801</v>
      </c>
      <c r="AB109" s="6">
        <v>18</v>
      </c>
      <c r="AC109" s="7">
        <v>1.38358E-11</v>
      </c>
      <c r="AD109" s="6">
        <v>263.53399999999999</v>
      </c>
      <c r="AE109" s="10"/>
      <c r="AF109" s="10">
        <v>271631357.31380701</v>
      </c>
      <c r="AG109" s="6">
        <v>18</v>
      </c>
      <c r="AH109" s="1">
        <v>3.0001599999999998E-10</v>
      </c>
      <c r="AI109">
        <v>81.716999999999999</v>
      </c>
      <c r="AJ109" s="10"/>
    </row>
    <row r="110" spans="1:36">
      <c r="A110" s="10">
        <v>271631357.31309801</v>
      </c>
      <c r="B110">
        <v>19</v>
      </c>
      <c r="C110" s="1">
        <v>4.9897499999999998E-12</v>
      </c>
      <c r="D110">
        <v>111.8</v>
      </c>
      <c r="E110" s="9"/>
      <c r="F110" s="10">
        <v>271631357.31311297</v>
      </c>
      <c r="G110">
        <v>15</v>
      </c>
      <c r="H110" s="1">
        <v>7.6001400000000003E-11</v>
      </c>
      <c r="I110">
        <v>184.44499999999999</v>
      </c>
      <c r="J110" s="9"/>
      <c r="K110" s="10"/>
      <c r="L110" s="10">
        <v>271631357.31321901</v>
      </c>
      <c r="M110">
        <v>19</v>
      </c>
      <c r="N110" s="1">
        <v>5.3951999999999997E-9</v>
      </c>
      <c r="O110">
        <v>89.792000000000002</v>
      </c>
      <c r="P110" s="10"/>
      <c r="S110" s="6"/>
      <c r="T110" s="6"/>
      <c r="U110" s="10"/>
      <c r="V110" s="10">
        <v>271631357.313097</v>
      </c>
      <c r="W110" s="6">
        <v>19</v>
      </c>
      <c r="X110" s="7">
        <v>3.3058200000000001E-12</v>
      </c>
      <c r="Y110" s="6">
        <v>137.09800000000001</v>
      </c>
      <c r="Z110" s="10"/>
      <c r="AA110" s="10">
        <v>271631357.31309801</v>
      </c>
      <c r="AB110" s="6">
        <v>19</v>
      </c>
      <c r="AC110" s="7">
        <v>1.38358E-11</v>
      </c>
      <c r="AD110" s="6">
        <v>268.10300000000001</v>
      </c>
      <c r="AE110" s="10"/>
      <c r="AF110" s="10">
        <v>271631357.31380701</v>
      </c>
      <c r="AG110" s="6">
        <v>19</v>
      </c>
      <c r="AH110" s="1">
        <v>3.0001599999999998E-10</v>
      </c>
      <c r="AI110">
        <v>117.217</v>
      </c>
      <c r="AJ110" s="10"/>
    </row>
    <row r="111" spans="1:36">
      <c r="A111" s="10">
        <v>271631357.31309801</v>
      </c>
      <c r="B111">
        <v>20</v>
      </c>
      <c r="C111" s="1">
        <v>2.9897499999999999E-12</v>
      </c>
      <c r="D111">
        <v>115.40900000000001</v>
      </c>
      <c r="E111" s="9"/>
      <c r="F111" s="10">
        <v>271631357.31311297</v>
      </c>
      <c r="G111">
        <v>16</v>
      </c>
      <c r="H111" s="1">
        <v>7.6001400000000003E-11</v>
      </c>
      <c r="I111">
        <v>224.059</v>
      </c>
      <c r="J111" s="9"/>
      <c r="K111" s="10"/>
      <c r="L111" s="10">
        <v>271631357.31313801</v>
      </c>
      <c r="M111">
        <v>20</v>
      </c>
      <c r="N111" s="1">
        <v>4.49265E-10</v>
      </c>
      <c r="O111">
        <v>98.055000000000007</v>
      </c>
      <c r="P111" s="10"/>
      <c r="S111" s="6"/>
      <c r="T111" s="6"/>
      <c r="U111" s="10"/>
      <c r="V111" s="10">
        <v>271631357.313097</v>
      </c>
      <c r="W111" s="6">
        <v>20</v>
      </c>
      <c r="X111" s="7">
        <v>3.3058200000000001E-12</v>
      </c>
      <c r="Y111" s="6">
        <v>143.84899999999999</v>
      </c>
      <c r="Z111" s="10"/>
      <c r="AA111" s="10">
        <v>271631357.31309801</v>
      </c>
      <c r="AB111" s="6">
        <v>20</v>
      </c>
      <c r="AC111" s="7">
        <v>1.38358E-11</v>
      </c>
      <c r="AD111" s="6">
        <v>271.86399999999998</v>
      </c>
      <c r="AE111" s="10"/>
      <c r="AF111" s="10">
        <v>271631357.313236</v>
      </c>
      <c r="AG111" s="6">
        <v>20</v>
      </c>
      <c r="AH111" s="1">
        <v>3.0001599999999998E-10</v>
      </c>
      <c r="AI111">
        <v>119.036</v>
      </c>
      <c r="AJ111" s="10"/>
    </row>
    <row r="112" spans="1:36">
      <c r="A112" s="10">
        <v>271631357.31309801</v>
      </c>
      <c r="B112">
        <v>21</v>
      </c>
      <c r="C112" s="1">
        <v>1.9897500000000001E-12</v>
      </c>
      <c r="D112">
        <v>133.316</v>
      </c>
      <c r="E112" s="9"/>
      <c r="F112" s="10">
        <v>271631357.31311297</v>
      </c>
      <c r="G112">
        <v>17</v>
      </c>
      <c r="H112" s="1">
        <v>7.6001400000000003E-11</v>
      </c>
      <c r="I112">
        <v>231.321</v>
      </c>
      <c r="J112" s="9"/>
      <c r="K112" s="10"/>
      <c r="L112" s="10">
        <v>271631357.31313801</v>
      </c>
      <c r="M112">
        <v>21</v>
      </c>
      <c r="N112" s="1">
        <v>7.3454399999999996E-11</v>
      </c>
      <c r="O112">
        <v>112.248</v>
      </c>
      <c r="P112" s="10"/>
      <c r="S112" s="6"/>
      <c r="T112" s="6"/>
      <c r="U112" s="10"/>
      <c r="V112" s="10">
        <v>271631357.313097</v>
      </c>
      <c r="W112" s="6">
        <v>21</v>
      </c>
      <c r="X112" s="7">
        <v>3.3058200000000001E-12</v>
      </c>
      <c r="Y112" s="6">
        <v>151.16</v>
      </c>
      <c r="Z112" s="10"/>
      <c r="AA112" s="10">
        <v>271631357.31309801</v>
      </c>
      <c r="AB112" s="6">
        <v>21</v>
      </c>
      <c r="AC112" s="7">
        <v>1.38358E-11</v>
      </c>
      <c r="AD112" s="6">
        <v>278.11</v>
      </c>
      <c r="AE112" s="10"/>
      <c r="AF112" s="10">
        <v>271631357.313236</v>
      </c>
      <c r="AG112" s="6">
        <v>21</v>
      </c>
      <c r="AH112" s="1">
        <v>3.0001599999999998E-10</v>
      </c>
      <c r="AI112">
        <v>123.804</v>
      </c>
      <c r="AJ112" s="10"/>
    </row>
    <row r="113" spans="1:36">
      <c r="A113" s="10">
        <v>271631357.31309801</v>
      </c>
      <c r="B113">
        <v>22</v>
      </c>
      <c r="C113" s="1">
        <v>1.9897500000000001E-12</v>
      </c>
      <c r="D113">
        <v>138.851</v>
      </c>
      <c r="E113" s="9"/>
      <c r="F113" s="10">
        <v>271631357.31311297</v>
      </c>
      <c r="G113">
        <v>18</v>
      </c>
      <c r="H113" s="1">
        <v>7.6001400000000003E-11</v>
      </c>
      <c r="I113">
        <v>236.797</v>
      </c>
      <c r="J113" s="9"/>
      <c r="K113" s="10"/>
      <c r="L113" s="10">
        <v>271631357.313097</v>
      </c>
      <c r="M113">
        <v>22</v>
      </c>
      <c r="N113" s="1">
        <v>7.01094E-12</v>
      </c>
      <c r="O113">
        <v>129.18</v>
      </c>
      <c r="P113" s="10"/>
      <c r="S113" s="6"/>
      <c r="T113" s="6"/>
      <c r="U113" s="10"/>
      <c r="V113" s="10">
        <v>271631357.313097</v>
      </c>
      <c r="W113" s="6">
        <v>22</v>
      </c>
      <c r="X113" s="7">
        <v>3.3058200000000001E-12</v>
      </c>
      <c r="Y113" s="6">
        <v>159.1</v>
      </c>
      <c r="Z113" s="10"/>
      <c r="AA113" s="10">
        <v>271631357.31309801</v>
      </c>
      <c r="AB113" s="6">
        <v>22</v>
      </c>
      <c r="AC113" s="7">
        <v>3.7022200000000004E-12</v>
      </c>
      <c r="AD113" s="6">
        <v>284.827</v>
      </c>
      <c r="AE113" s="10"/>
      <c r="AF113" s="10">
        <v>271631357.31311202</v>
      </c>
      <c r="AG113" s="6">
        <v>22</v>
      </c>
      <c r="AH113" s="1">
        <v>3.0001599999999998E-10</v>
      </c>
      <c r="AI113">
        <v>130.87299999999999</v>
      </c>
      <c r="AJ113" s="10"/>
    </row>
    <row r="114" spans="1:36">
      <c r="A114" s="10">
        <v>271631357.31309801</v>
      </c>
      <c r="B114">
        <v>23</v>
      </c>
      <c r="C114" s="1">
        <v>1.9897500000000001E-12</v>
      </c>
      <c r="D114">
        <v>144.42099999999999</v>
      </c>
      <c r="E114" s="9"/>
      <c r="F114" s="10">
        <v>271631357.31311297</v>
      </c>
      <c r="G114">
        <v>19</v>
      </c>
      <c r="H114" s="1">
        <v>7.6001400000000003E-11</v>
      </c>
      <c r="I114">
        <v>242.82499999999999</v>
      </c>
      <c r="J114" s="9"/>
      <c r="K114" s="10"/>
      <c r="L114" s="10">
        <v>271631357.313097</v>
      </c>
      <c r="M114">
        <v>23</v>
      </c>
      <c r="N114" s="1">
        <v>7.01094E-12</v>
      </c>
      <c r="O114">
        <v>173.52</v>
      </c>
      <c r="P114" s="10"/>
      <c r="S114" s="6"/>
      <c r="T114" s="6"/>
      <c r="U114" s="10"/>
      <c r="V114" s="10">
        <v>271631357.313097</v>
      </c>
      <c r="W114" s="6">
        <v>23</v>
      </c>
      <c r="X114" s="7">
        <v>2.0662600000000001E-12</v>
      </c>
      <c r="Y114" s="6">
        <v>168.816</v>
      </c>
      <c r="Z114" s="10"/>
      <c r="AA114" s="10">
        <v>271631357.31309801</v>
      </c>
      <c r="AB114" s="6">
        <v>23</v>
      </c>
      <c r="AC114" s="7">
        <v>3.7022200000000004E-12</v>
      </c>
      <c r="AD114" s="6">
        <v>321.74700000000001</v>
      </c>
      <c r="AE114" s="10"/>
      <c r="AF114" s="10">
        <v>271631357.31309903</v>
      </c>
      <c r="AG114" s="6">
        <v>23</v>
      </c>
      <c r="AH114" s="1">
        <v>8.8183199999999998E-11</v>
      </c>
      <c r="AI114">
        <v>143.86799999999999</v>
      </c>
      <c r="AJ114" s="10"/>
    </row>
    <row r="115" spans="1:36">
      <c r="A115" s="10">
        <v>271631357.31309801</v>
      </c>
      <c r="B115">
        <v>24</v>
      </c>
      <c r="C115" s="1">
        <v>1.9897500000000001E-12</v>
      </c>
      <c r="D115">
        <v>151.01300000000001</v>
      </c>
      <c r="E115" s="9"/>
      <c r="F115" s="10">
        <v>271631357.31311297</v>
      </c>
      <c r="G115">
        <v>20</v>
      </c>
      <c r="H115" s="1">
        <v>7.6001400000000003E-11</v>
      </c>
      <c r="I115">
        <v>249.96600000000001</v>
      </c>
      <c r="J115" s="9"/>
      <c r="K115" s="10"/>
      <c r="L115" s="10">
        <v>271631357.313097</v>
      </c>
      <c r="M115">
        <v>24</v>
      </c>
      <c r="N115" s="1">
        <v>7.01094E-12</v>
      </c>
      <c r="O115">
        <v>185.08199999999999</v>
      </c>
      <c r="P115" s="10"/>
      <c r="S115" s="6"/>
      <c r="T115" s="6"/>
      <c r="U115" s="10"/>
      <c r="V115" s="10">
        <v>271631357.313097</v>
      </c>
      <c r="W115" s="6">
        <v>24</v>
      </c>
      <c r="X115" s="7">
        <v>1.66967E-13</v>
      </c>
      <c r="Y115" s="6">
        <v>217.12200000000001</v>
      </c>
      <c r="Z115" s="10"/>
      <c r="AA115" s="10">
        <v>271631357.31309801</v>
      </c>
      <c r="AB115" s="6">
        <v>24</v>
      </c>
      <c r="AC115" s="7">
        <v>3.7022200000000004E-12</v>
      </c>
      <c r="AD115" s="6">
        <v>325.33499999999998</v>
      </c>
      <c r="AE115" s="10"/>
      <c r="AF115" s="10">
        <v>271631357.31309801</v>
      </c>
      <c r="AG115" s="6">
        <v>24</v>
      </c>
      <c r="AH115" s="1">
        <v>6.3286000000000003E-12</v>
      </c>
      <c r="AI115">
        <v>171.642</v>
      </c>
      <c r="AJ115" s="10"/>
    </row>
    <row r="116" spans="1:36">
      <c r="A116" s="10">
        <v>271631357.31309801</v>
      </c>
      <c r="B116">
        <v>25</v>
      </c>
      <c r="C116" s="1">
        <v>1.9897500000000001E-12</v>
      </c>
      <c r="D116">
        <v>158.596</v>
      </c>
      <c r="E116" s="9"/>
      <c r="F116" s="10">
        <v>271631357.31309903</v>
      </c>
      <c r="G116">
        <v>21</v>
      </c>
      <c r="H116" s="1">
        <v>7.6001400000000003E-11</v>
      </c>
      <c r="I116">
        <v>261.91399999999999</v>
      </c>
      <c r="J116" s="9"/>
      <c r="K116" s="10"/>
      <c r="L116" s="10">
        <v>271631357.313097</v>
      </c>
      <c r="M116">
        <v>25</v>
      </c>
      <c r="N116" s="1">
        <v>3.4713200000000002E-12</v>
      </c>
      <c r="O116">
        <v>195.767</v>
      </c>
      <c r="P116" s="10"/>
      <c r="S116" s="6"/>
      <c r="T116" s="6"/>
      <c r="U116" s="10"/>
      <c r="V116" s="6"/>
      <c r="W116" s="6"/>
      <c r="X116" s="6"/>
      <c r="Y116" s="6"/>
      <c r="Z116" s="10"/>
      <c r="AA116" s="10">
        <v>271631357.31309801</v>
      </c>
      <c r="AB116" s="6">
        <v>25</v>
      </c>
      <c r="AC116" s="7">
        <v>3.7022200000000004E-12</v>
      </c>
      <c r="AD116" s="6">
        <v>332.64499999999998</v>
      </c>
      <c r="AE116" s="10"/>
      <c r="AF116" s="6"/>
      <c r="AG116" s="6"/>
      <c r="AJ116" s="10"/>
    </row>
    <row r="117" spans="1:36">
      <c r="A117" s="10">
        <v>271631357.31309801</v>
      </c>
      <c r="B117">
        <v>26</v>
      </c>
      <c r="C117" s="1">
        <v>1.9897500000000001E-12</v>
      </c>
      <c r="D117">
        <v>194.34899999999999</v>
      </c>
      <c r="E117" s="9"/>
      <c r="F117" s="10">
        <v>271631357.31309903</v>
      </c>
      <c r="G117">
        <v>22</v>
      </c>
      <c r="H117" s="1">
        <v>5.1390200000000002E-11</v>
      </c>
      <c r="I117">
        <v>300.48399999999998</v>
      </c>
      <c r="J117" s="9"/>
      <c r="K117" s="10"/>
      <c r="L117" s="10">
        <v>271631357.313097</v>
      </c>
      <c r="M117">
        <v>26</v>
      </c>
      <c r="N117" s="1">
        <v>3.4713200000000002E-12</v>
      </c>
      <c r="O117">
        <v>525.5</v>
      </c>
      <c r="P117" s="10"/>
      <c r="S117" s="6"/>
      <c r="T117" s="6"/>
      <c r="U117" s="10"/>
      <c r="V117" s="6"/>
      <c r="W117" s="6"/>
      <c r="X117" s="6"/>
      <c r="Y117" s="6"/>
      <c r="Z117" s="10"/>
      <c r="AA117" s="10">
        <v>271631357.31309801</v>
      </c>
      <c r="AB117" s="6">
        <v>26</v>
      </c>
      <c r="AC117" s="7">
        <v>3.7022200000000004E-12</v>
      </c>
      <c r="AD117" s="6">
        <v>344.02699999999999</v>
      </c>
      <c r="AE117" s="10"/>
      <c r="AF117" s="6"/>
      <c r="AG117" s="6"/>
      <c r="AJ117" s="10"/>
    </row>
    <row r="118" spans="1:36">
      <c r="A118" s="10">
        <v>271631357.31309801</v>
      </c>
      <c r="B118">
        <v>27</v>
      </c>
      <c r="C118" s="1">
        <v>1.9897500000000001E-12</v>
      </c>
      <c r="D118">
        <v>217.762</v>
      </c>
      <c r="E118" s="9"/>
      <c r="F118" s="10">
        <v>271631357.31309903</v>
      </c>
      <c r="G118">
        <v>23</v>
      </c>
      <c r="H118" s="1">
        <v>5.1390200000000002E-11</v>
      </c>
      <c r="I118">
        <v>347.20699999999999</v>
      </c>
      <c r="J118" s="9"/>
      <c r="K118" s="10"/>
      <c r="L118" s="10">
        <v>271631357.313097</v>
      </c>
      <c r="M118">
        <v>27</v>
      </c>
      <c r="N118" s="1">
        <v>3.4713200000000002E-12</v>
      </c>
      <c r="O118">
        <v>588.98</v>
      </c>
      <c r="P118" s="10"/>
      <c r="S118" s="6"/>
      <c r="T118" s="6"/>
      <c r="U118" s="10"/>
      <c r="V118" s="6"/>
      <c r="W118" s="6"/>
      <c r="X118" s="6"/>
      <c r="Y118" s="6"/>
      <c r="Z118" s="10"/>
      <c r="AA118" s="10">
        <v>271631357.31309801</v>
      </c>
      <c r="AB118" s="6">
        <v>27</v>
      </c>
      <c r="AC118" s="7">
        <v>3.7022200000000004E-12</v>
      </c>
      <c r="AD118" s="6">
        <v>353.52600000000001</v>
      </c>
      <c r="AE118" s="10"/>
      <c r="AF118" s="6"/>
      <c r="AG118" s="6"/>
      <c r="AJ118" s="10"/>
    </row>
    <row r="119" spans="1:36">
      <c r="A119" s="10">
        <v>271631357.31309801</v>
      </c>
      <c r="B119">
        <v>28</v>
      </c>
      <c r="C119" s="1">
        <v>1.9897500000000001E-12</v>
      </c>
      <c r="D119">
        <v>233.99199999999999</v>
      </c>
      <c r="E119" s="9"/>
      <c r="F119" s="10">
        <v>271631357.31309903</v>
      </c>
      <c r="G119">
        <v>24</v>
      </c>
      <c r="H119" s="1">
        <v>5.1390200000000002E-11</v>
      </c>
      <c r="I119">
        <v>356.96199999999999</v>
      </c>
      <c r="J119" s="9"/>
      <c r="K119" s="10"/>
      <c r="L119" s="10">
        <v>271631357.313097</v>
      </c>
      <c r="M119">
        <v>28</v>
      </c>
      <c r="N119" s="1">
        <v>3.4713200000000002E-12</v>
      </c>
      <c r="O119">
        <v>624.98299999999995</v>
      </c>
      <c r="P119" s="10"/>
      <c r="S119" s="6"/>
      <c r="T119" s="6"/>
      <c r="U119" s="10"/>
      <c r="V119" s="6"/>
      <c r="W119" s="6"/>
      <c r="X119" s="6"/>
      <c r="Y119" s="6"/>
      <c r="Z119" s="10"/>
      <c r="AA119" s="10">
        <v>271631357.31309801</v>
      </c>
      <c r="AB119" s="6">
        <v>28</v>
      </c>
      <c r="AC119" s="7">
        <v>5.7221299999999996E-13</v>
      </c>
      <c r="AD119" s="6">
        <v>363.62599999999998</v>
      </c>
      <c r="AE119" s="10"/>
      <c r="AF119" s="6"/>
      <c r="AG119" s="6"/>
      <c r="AJ119" s="10"/>
    </row>
    <row r="120" spans="1:36">
      <c r="A120" s="10">
        <v>271631357.31309801</v>
      </c>
      <c r="B120">
        <v>29</v>
      </c>
      <c r="C120" s="1">
        <v>1.9897500000000001E-12</v>
      </c>
      <c r="D120">
        <v>262.85000000000002</v>
      </c>
      <c r="E120" s="9"/>
      <c r="F120" s="10">
        <v>271631357.31309903</v>
      </c>
      <c r="G120">
        <v>25</v>
      </c>
      <c r="H120" s="1">
        <v>5.1390200000000002E-11</v>
      </c>
      <c r="I120">
        <v>377.64</v>
      </c>
      <c r="J120" s="1"/>
      <c r="K120" s="10"/>
      <c r="L120" s="10">
        <v>271631357.313097</v>
      </c>
      <c r="M120">
        <v>29</v>
      </c>
      <c r="N120" s="1">
        <v>3.4713200000000002E-12</v>
      </c>
      <c r="O120">
        <v>670.27200000000005</v>
      </c>
      <c r="P120" s="10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1:36">
      <c r="A121" s="10">
        <v>271631357.31309801</v>
      </c>
      <c r="B121">
        <v>30</v>
      </c>
      <c r="C121" s="1">
        <v>1.9897500000000001E-12</v>
      </c>
      <c r="D121">
        <v>269.14100000000002</v>
      </c>
      <c r="E121" s="9"/>
      <c r="F121" s="10">
        <v>271631357.31309903</v>
      </c>
      <c r="G121">
        <v>26</v>
      </c>
      <c r="H121" s="1">
        <v>5.1390200000000002E-11</v>
      </c>
      <c r="I121">
        <v>405.56099999999998</v>
      </c>
      <c r="J121" s="1"/>
      <c r="K121" s="10"/>
      <c r="L121" s="10">
        <v>271631357.313097</v>
      </c>
      <c r="M121">
        <v>30</v>
      </c>
      <c r="N121" s="1">
        <v>3.4713200000000002E-12</v>
      </c>
      <c r="O121">
        <v>854.96299999999997</v>
      </c>
      <c r="P121" s="10"/>
    </row>
    <row r="122" spans="1:36">
      <c r="A122" s="10">
        <v>271631357.31309801</v>
      </c>
      <c r="B122">
        <v>31</v>
      </c>
      <c r="C122" s="1">
        <v>1.9897500000000001E-12</v>
      </c>
      <c r="D122">
        <v>273.589</v>
      </c>
      <c r="E122" s="9"/>
      <c r="F122" s="10">
        <v>271631357.31309903</v>
      </c>
      <c r="G122">
        <v>27</v>
      </c>
      <c r="H122" s="1">
        <v>5.1390200000000002E-11</v>
      </c>
      <c r="I122">
        <v>553.56100000000004</v>
      </c>
      <c r="J122" s="1"/>
    </row>
    <row r="123" spans="1:36">
      <c r="A123" s="10">
        <v>271631357.31309801</v>
      </c>
      <c r="B123">
        <v>32</v>
      </c>
      <c r="C123" s="1">
        <v>1.9897500000000001E-12</v>
      </c>
      <c r="D123">
        <v>281.63900000000001</v>
      </c>
      <c r="E123" s="9"/>
      <c r="F123" s="10">
        <v>271631357.31309903</v>
      </c>
      <c r="G123">
        <v>28</v>
      </c>
      <c r="H123" s="1">
        <v>5.1390200000000002E-11</v>
      </c>
      <c r="I123">
        <v>559.39499999999998</v>
      </c>
      <c r="J123" s="1"/>
    </row>
    <row r="124" spans="1:36">
      <c r="E124" s="9"/>
      <c r="F124" s="10">
        <v>271631357.31309903</v>
      </c>
      <c r="G124">
        <v>29</v>
      </c>
      <c r="H124" s="1">
        <v>5.1390200000000002E-11</v>
      </c>
      <c r="I124">
        <v>567.88</v>
      </c>
      <c r="J124" s="1"/>
    </row>
    <row r="125" spans="1:36">
      <c r="E125" s="9"/>
      <c r="F125" s="10">
        <v>271631357.31309903</v>
      </c>
      <c r="G125">
        <v>30</v>
      </c>
      <c r="H125" s="1">
        <v>5.1390200000000002E-11</v>
      </c>
      <c r="I125">
        <v>597.28099999999995</v>
      </c>
      <c r="J125" s="1"/>
    </row>
    <row r="126" spans="1:36">
      <c r="E126" s="9"/>
      <c r="F126" s="10">
        <v>271631357.31309903</v>
      </c>
      <c r="G126">
        <v>31</v>
      </c>
      <c r="H126" s="1">
        <v>5.1390200000000002E-11</v>
      </c>
      <c r="I126">
        <v>605.44600000000003</v>
      </c>
      <c r="J126" s="1"/>
    </row>
    <row r="127" spans="1:36">
      <c r="E127" s="9"/>
      <c r="F127" s="10">
        <v>271631357.31309903</v>
      </c>
      <c r="G127">
        <v>32</v>
      </c>
      <c r="H127" s="1">
        <v>5.1390200000000002E-11</v>
      </c>
      <c r="I127">
        <v>613.02599999999995</v>
      </c>
      <c r="J127" s="1"/>
    </row>
    <row r="128" spans="1:36">
      <c r="E128" s="9"/>
    </row>
    <row r="129" spans="5:5">
      <c r="E129" s="9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</sheetData>
  <mergeCells count="31">
    <mergeCell ref="F89:I89"/>
    <mergeCell ref="L89:O89"/>
    <mergeCell ref="Q89:T89"/>
    <mergeCell ref="V89:Y89"/>
    <mergeCell ref="AF27:AI27"/>
    <mergeCell ref="AF89:AI89"/>
    <mergeCell ref="AF68:AI68"/>
    <mergeCell ref="A1:AI1"/>
    <mergeCell ref="AA27:AD27"/>
    <mergeCell ref="A26:AJ26"/>
    <mergeCell ref="AA89:AD89"/>
    <mergeCell ref="A68:D68"/>
    <mergeCell ref="F68:I68"/>
    <mergeCell ref="K68:N68"/>
    <mergeCell ref="Q68:T68"/>
    <mergeCell ref="V68:Y68"/>
    <mergeCell ref="AA68:AD68"/>
    <mergeCell ref="A89:D89"/>
    <mergeCell ref="A27:D27"/>
    <mergeCell ref="F27:I27"/>
    <mergeCell ref="K27:N27"/>
    <mergeCell ref="Q27:T27"/>
    <mergeCell ref="V27:Y27"/>
    <mergeCell ref="AA2:AD2"/>
    <mergeCell ref="AF2:AI2"/>
    <mergeCell ref="A67:AI67"/>
    <mergeCell ref="A2:D2"/>
    <mergeCell ref="F2:I2"/>
    <mergeCell ref="K2:N2"/>
    <mergeCell ref="P2:S2"/>
    <mergeCell ref="V2:Y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 Zhang</dc:creator>
  <cp:lastModifiedBy>凯 张</cp:lastModifiedBy>
  <cp:lastPrinted>2024-05-06T05:59:15Z</cp:lastPrinted>
  <dcterms:created xsi:type="dcterms:W3CDTF">2015-06-05T18:19:34Z</dcterms:created>
  <dcterms:modified xsi:type="dcterms:W3CDTF">2026-07-23T13:39:26Z</dcterms:modified>
</cp:coreProperties>
</file>